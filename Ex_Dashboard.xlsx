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dam1\Downloads\شركة الأفق العقارية2\"/>
    </mc:Choice>
  </mc:AlternateContent>
  <xr:revisionPtr revIDLastSave="0" documentId="13_ncr:1_{FE1C099A-A8F7-4D7F-814A-BDAC16F4C069}" xr6:coauthVersionLast="47" xr6:coauthVersionMax="47" xr10:uidLastSave="{00000000-0000-0000-0000-000000000000}"/>
  <bookViews>
    <workbookView xWindow="-108" yWindow="-108" windowWidth="23256" windowHeight="12456" xr2:uid="{7AE613CA-C16E-459F-BF95-82908A683133}"/>
  </bookViews>
  <sheets>
    <sheet name="قاعدة البيانات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1" i="1" l="1"/>
  <c r="N181" i="1" s="1"/>
  <c r="I180" i="1"/>
  <c r="N180" i="1" s="1"/>
  <c r="I179" i="1"/>
  <c r="N179" i="1" s="1"/>
  <c r="I178" i="1"/>
  <c r="N178" i="1" s="1"/>
  <c r="I177" i="1"/>
  <c r="N177" i="1" s="1"/>
  <c r="I176" i="1"/>
  <c r="N176" i="1" s="1"/>
  <c r="I175" i="1"/>
  <c r="N175" i="1" s="1"/>
  <c r="I174" i="1"/>
  <c r="N174" i="1" s="1"/>
  <c r="I173" i="1"/>
  <c r="N173" i="1" s="1"/>
  <c r="I172" i="1"/>
  <c r="N172" i="1" s="1"/>
  <c r="I171" i="1"/>
  <c r="N171" i="1" s="1"/>
  <c r="I170" i="1"/>
  <c r="N170" i="1" s="1"/>
  <c r="I169" i="1"/>
  <c r="N169" i="1" s="1"/>
  <c r="I168" i="1"/>
  <c r="N168" i="1" s="1"/>
  <c r="I167" i="1"/>
  <c r="N167" i="1" s="1"/>
  <c r="I166" i="1"/>
  <c r="N166" i="1" s="1"/>
  <c r="I165" i="1"/>
  <c r="N165" i="1" s="1"/>
  <c r="I164" i="1"/>
  <c r="N164" i="1" s="1"/>
  <c r="I163" i="1"/>
  <c r="N163" i="1" s="1"/>
  <c r="I162" i="1"/>
  <c r="N162" i="1" s="1"/>
  <c r="I161" i="1"/>
  <c r="N161" i="1" s="1"/>
  <c r="I160" i="1"/>
  <c r="N160" i="1" s="1"/>
  <c r="I159" i="1"/>
  <c r="N159" i="1" s="1"/>
  <c r="I158" i="1"/>
  <c r="N158" i="1" s="1"/>
  <c r="I157" i="1"/>
  <c r="N157" i="1" s="1"/>
  <c r="I156" i="1"/>
  <c r="N156" i="1" s="1"/>
  <c r="I155" i="1"/>
  <c r="N155" i="1" s="1"/>
  <c r="I154" i="1"/>
  <c r="N154" i="1" s="1"/>
  <c r="I153" i="1"/>
  <c r="N153" i="1" s="1"/>
  <c r="I152" i="1"/>
  <c r="N152" i="1" s="1"/>
  <c r="I151" i="1"/>
  <c r="N151" i="1" s="1"/>
  <c r="I150" i="1"/>
  <c r="N150" i="1" s="1"/>
  <c r="I149" i="1"/>
  <c r="N149" i="1" s="1"/>
  <c r="I148" i="1"/>
  <c r="N148" i="1" s="1"/>
  <c r="I147" i="1"/>
  <c r="N147" i="1" s="1"/>
  <c r="I146" i="1"/>
  <c r="N146" i="1" s="1"/>
  <c r="I145" i="1"/>
  <c r="N145" i="1" s="1"/>
  <c r="I144" i="1"/>
  <c r="N144" i="1" s="1"/>
  <c r="I143" i="1"/>
  <c r="N143" i="1" s="1"/>
  <c r="I142" i="1"/>
  <c r="N142" i="1" s="1"/>
  <c r="I141" i="1"/>
  <c r="N141" i="1" s="1"/>
  <c r="I140" i="1"/>
  <c r="N140" i="1" s="1"/>
  <c r="I139" i="1"/>
  <c r="N139" i="1" s="1"/>
  <c r="I138" i="1"/>
  <c r="N138" i="1" s="1"/>
  <c r="I137" i="1"/>
  <c r="N137" i="1" s="1"/>
  <c r="I136" i="1"/>
  <c r="N136" i="1" s="1"/>
  <c r="I135" i="1"/>
  <c r="N135" i="1" s="1"/>
  <c r="I134" i="1"/>
  <c r="N134" i="1" s="1"/>
  <c r="I133" i="1"/>
  <c r="N133" i="1" s="1"/>
  <c r="I132" i="1"/>
  <c r="N132" i="1" s="1"/>
  <c r="I131" i="1"/>
  <c r="N131" i="1" s="1"/>
  <c r="I130" i="1"/>
  <c r="N130" i="1" s="1"/>
  <c r="I129" i="1"/>
  <c r="N129" i="1" s="1"/>
  <c r="I128" i="1"/>
  <c r="N128" i="1" s="1"/>
  <c r="I127" i="1"/>
  <c r="N127" i="1" s="1"/>
  <c r="I126" i="1"/>
  <c r="N126" i="1" s="1"/>
  <c r="I125" i="1"/>
  <c r="N125" i="1" s="1"/>
  <c r="I124" i="1"/>
  <c r="N124" i="1" s="1"/>
  <c r="I123" i="1"/>
  <c r="N123" i="1" s="1"/>
  <c r="I122" i="1"/>
  <c r="N122" i="1" s="1"/>
  <c r="I121" i="1"/>
  <c r="N121" i="1" s="1"/>
  <c r="I120" i="1"/>
  <c r="N120" i="1" s="1"/>
  <c r="I119" i="1"/>
  <c r="N119" i="1" s="1"/>
  <c r="I118" i="1"/>
  <c r="N118" i="1" s="1"/>
  <c r="I117" i="1"/>
  <c r="N117" i="1" s="1"/>
  <c r="I116" i="1"/>
  <c r="N116" i="1" s="1"/>
  <c r="I115" i="1"/>
  <c r="N115" i="1" s="1"/>
  <c r="I114" i="1"/>
  <c r="N114" i="1" s="1"/>
  <c r="I113" i="1"/>
  <c r="N113" i="1" s="1"/>
  <c r="I112" i="1"/>
  <c r="N112" i="1" s="1"/>
  <c r="I111" i="1"/>
  <c r="N111" i="1" s="1"/>
  <c r="I110" i="1"/>
  <c r="N110" i="1" s="1"/>
  <c r="I109" i="1"/>
  <c r="N109" i="1" s="1"/>
  <c r="I108" i="1"/>
  <c r="N108" i="1" s="1"/>
  <c r="I107" i="1"/>
  <c r="N107" i="1" s="1"/>
  <c r="I106" i="1"/>
  <c r="N106" i="1" s="1"/>
  <c r="I105" i="1"/>
  <c r="N105" i="1" s="1"/>
  <c r="I104" i="1"/>
  <c r="N104" i="1" s="1"/>
  <c r="I103" i="1"/>
  <c r="N103" i="1" s="1"/>
  <c r="I102" i="1"/>
  <c r="N102" i="1" s="1"/>
  <c r="I101" i="1"/>
  <c r="N101" i="1" s="1"/>
  <c r="I100" i="1"/>
  <c r="N100" i="1" s="1"/>
  <c r="I99" i="1"/>
  <c r="N99" i="1" s="1"/>
  <c r="I98" i="1"/>
  <c r="N98" i="1" s="1"/>
  <c r="I97" i="1"/>
  <c r="N97" i="1" s="1"/>
  <c r="I96" i="1"/>
  <c r="N96" i="1" s="1"/>
  <c r="I95" i="1"/>
  <c r="N95" i="1" s="1"/>
  <c r="I94" i="1"/>
  <c r="N94" i="1" s="1"/>
  <c r="I93" i="1"/>
  <c r="N93" i="1" s="1"/>
  <c r="I92" i="1"/>
  <c r="N92" i="1" s="1"/>
  <c r="I91" i="1"/>
  <c r="N91" i="1" s="1"/>
  <c r="I90" i="1"/>
  <c r="N90" i="1" s="1"/>
  <c r="I89" i="1"/>
  <c r="N89" i="1" s="1"/>
  <c r="I88" i="1"/>
  <c r="N88" i="1" s="1"/>
  <c r="I87" i="1"/>
  <c r="N87" i="1" s="1"/>
  <c r="I86" i="1"/>
  <c r="N86" i="1" s="1"/>
  <c r="I85" i="1"/>
  <c r="N85" i="1" s="1"/>
  <c r="I84" i="1"/>
  <c r="N84" i="1" s="1"/>
  <c r="I83" i="1"/>
  <c r="N83" i="1" s="1"/>
  <c r="I82" i="1"/>
  <c r="N82" i="1" s="1"/>
  <c r="I81" i="1"/>
  <c r="N81" i="1" s="1"/>
  <c r="I80" i="1"/>
  <c r="N80" i="1" s="1"/>
  <c r="I79" i="1"/>
  <c r="N79" i="1" s="1"/>
  <c r="I78" i="1"/>
  <c r="N78" i="1" s="1"/>
  <c r="I77" i="1"/>
  <c r="N77" i="1" s="1"/>
  <c r="I76" i="1"/>
  <c r="N76" i="1" s="1"/>
  <c r="I75" i="1"/>
  <c r="N75" i="1" s="1"/>
  <c r="I74" i="1"/>
  <c r="N74" i="1" s="1"/>
  <c r="I73" i="1"/>
  <c r="N73" i="1" s="1"/>
  <c r="I72" i="1"/>
  <c r="N72" i="1" s="1"/>
  <c r="I71" i="1"/>
  <c r="N71" i="1" s="1"/>
  <c r="I70" i="1"/>
  <c r="N70" i="1" s="1"/>
  <c r="I69" i="1"/>
  <c r="N69" i="1" s="1"/>
  <c r="I68" i="1"/>
  <c r="N68" i="1" s="1"/>
  <c r="I67" i="1"/>
  <c r="N67" i="1" s="1"/>
  <c r="I66" i="1"/>
  <c r="N66" i="1" s="1"/>
  <c r="I65" i="1"/>
  <c r="N65" i="1" s="1"/>
  <c r="I64" i="1"/>
  <c r="N64" i="1" s="1"/>
  <c r="I63" i="1"/>
  <c r="N63" i="1" s="1"/>
  <c r="I62" i="1"/>
  <c r="N62" i="1" s="1"/>
  <c r="I61" i="1"/>
  <c r="N61" i="1" s="1"/>
  <c r="I60" i="1"/>
  <c r="N60" i="1" s="1"/>
  <c r="I59" i="1"/>
  <c r="N59" i="1" s="1"/>
  <c r="I58" i="1"/>
  <c r="N58" i="1" s="1"/>
  <c r="I57" i="1"/>
  <c r="N57" i="1" s="1"/>
  <c r="I56" i="1"/>
  <c r="N56" i="1" s="1"/>
  <c r="I55" i="1"/>
  <c r="N55" i="1" s="1"/>
  <c r="I54" i="1"/>
  <c r="N54" i="1" s="1"/>
  <c r="I53" i="1"/>
  <c r="N53" i="1" s="1"/>
  <c r="I52" i="1"/>
  <c r="N52" i="1" s="1"/>
  <c r="I51" i="1"/>
  <c r="N51" i="1" s="1"/>
  <c r="I50" i="1"/>
  <c r="N50" i="1" s="1"/>
  <c r="I49" i="1"/>
  <c r="N49" i="1" s="1"/>
  <c r="I48" i="1"/>
  <c r="N48" i="1" s="1"/>
  <c r="I47" i="1"/>
  <c r="N47" i="1" s="1"/>
  <c r="I46" i="1"/>
  <c r="N46" i="1" s="1"/>
  <c r="I45" i="1"/>
  <c r="N45" i="1" s="1"/>
  <c r="I44" i="1"/>
  <c r="N44" i="1" s="1"/>
  <c r="I43" i="1"/>
  <c r="N43" i="1" s="1"/>
  <c r="I42" i="1"/>
  <c r="N42" i="1" s="1"/>
  <c r="I41" i="1"/>
  <c r="N41" i="1" s="1"/>
  <c r="I40" i="1"/>
  <c r="N40" i="1" s="1"/>
  <c r="I39" i="1"/>
  <c r="N39" i="1" s="1"/>
  <c r="I38" i="1"/>
  <c r="N38" i="1" s="1"/>
  <c r="I37" i="1"/>
  <c r="N37" i="1" s="1"/>
  <c r="I36" i="1"/>
  <c r="N36" i="1" s="1"/>
  <c r="I35" i="1"/>
  <c r="N35" i="1" s="1"/>
  <c r="I34" i="1"/>
  <c r="N34" i="1" s="1"/>
  <c r="I33" i="1"/>
  <c r="N33" i="1" s="1"/>
  <c r="I32" i="1"/>
  <c r="N32" i="1" s="1"/>
  <c r="I31" i="1"/>
  <c r="N31" i="1" s="1"/>
  <c r="I30" i="1"/>
  <c r="N30" i="1" s="1"/>
  <c r="I29" i="1"/>
  <c r="N29" i="1" s="1"/>
  <c r="I28" i="1"/>
  <c r="N28" i="1" s="1"/>
  <c r="I27" i="1"/>
  <c r="N27" i="1" s="1"/>
  <c r="I26" i="1"/>
  <c r="N26" i="1" s="1"/>
  <c r="I25" i="1"/>
  <c r="N25" i="1" s="1"/>
  <c r="I24" i="1"/>
  <c r="N24" i="1" s="1"/>
  <c r="I23" i="1"/>
  <c r="N23" i="1" s="1"/>
  <c r="I22" i="1"/>
  <c r="N22" i="1" s="1"/>
  <c r="I21" i="1"/>
  <c r="N21" i="1" s="1"/>
  <c r="I20" i="1"/>
  <c r="N20" i="1" s="1"/>
  <c r="I19" i="1"/>
  <c r="N19" i="1" s="1"/>
  <c r="I18" i="1"/>
  <c r="N18" i="1" s="1"/>
  <c r="I17" i="1"/>
  <c r="N17" i="1" s="1"/>
  <c r="I16" i="1"/>
  <c r="N16" i="1" s="1"/>
  <c r="I15" i="1"/>
  <c r="N15" i="1" s="1"/>
  <c r="I14" i="1"/>
  <c r="N14" i="1" s="1"/>
  <c r="I13" i="1"/>
  <c r="N13" i="1" s="1"/>
  <c r="I12" i="1"/>
  <c r="N12" i="1" s="1"/>
  <c r="I11" i="1"/>
  <c r="N11" i="1" s="1"/>
  <c r="I10" i="1"/>
  <c r="N10" i="1" s="1"/>
  <c r="I9" i="1"/>
  <c r="N9" i="1" s="1"/>
  <c r="I8" i="1"/>
  <c r="N8" i="1" s="1"/>
  <c r="I7" i="1"/>
  <c r="N7" i="1" s="1"/>
  <c r="I6" i="1"/>
  <c r="N6" i="1" s="1"/>
  <c r="I5" i="1"/>
  <c r="N5" i="1" s="1"/>
  <c r="I4" i="1"/>
  <c r="N4" i="1" s="1"/>
  <c r="I3" i="1"/>
  <c r="N3" i="1" s="1"/>
  <c r="I2" i="1"/>
  <c r="N2" i="1" s="1"/>
</calcChain>
</file>

<file path=xl/sharedStrings.xml><?xml version="1.0" encoding="utf-8"?>
<sst xmlns="http://schemas.openxmlformats.org/spreadsheetml/2006/main" count="1341" uniqueCount="236">
  <si>
    <t>رقم العملية</t>
  </si>
  <si>
    <t>التاريخ</t>
  </si>
  <si>
    <t>المدينة / المنطقة</t>
  </si>
  <si>
    <t>المشروع</t>
  </si>
  <si>
    <t>نوع العقار</t>
  </si>
  <si>
    <t>عدد الغرف</t>
  </si>
  <si>
    <t>المساحة (م²)</t>
  </si>
  <si>
    <t>سعر المتر (جنيه)</t>
  </si>
  <si>
    <t>السعر الإجمالي (جنيه)</t>
  </si>
  <si>
    <t>مندوب المبيعات</t>
  </si>
  <si>
    <t>حالة العملية</t>
  </si>
  <si>
    <t>طريقة الدفع</t>
  </si>
  <si>
    <t>نسبة العمولة %</t>
  </si>
  <si>
    <t>قيمة العمولة (جنيه)</t>
  </si>
  <si>
    <t>TX-0082</t>
  </si>
  <si>
    <t>الرحاب</t>
  </si>
  <si>
    <t>كمبوند روابي</t>
  </si>
  <si>
    <t>شقة سكنية</t>
  </si>
  <si>
    <t>إسلام رفعت</t>
  </si>
  <si>
    <t>تم البيع</t>
  </si>
  <si>
    <t>نقدي</t>
  </si>
  <si>
    <t>TX-0111</t>
  </si>
  <si>
    <t>الساحل الشمالي</t>
  </si>
  <si>
    <t>كمبوند الواحة</t>
  </si>
  <si>
    <t>فيلا</t>
  </si>
  <si>
    <t>محجوز</t>
  </si>
  <si>
    <t>TX-0046</t>
  </si>
  <si>
    <t>الشيخ زايد</t>
  </si>
  <si>
    <t>نور الهدى أشرف</t>
  </si>
  <si>
    <t>TX-0012</t>
  </si>
  <si>
    <t>كمبوند جرين هيلز</t>
  </si>
  <si>
    <t>دوبلكس</t>
  </si>
  <si>
    <t>محمد رضا</t>
  </si>
  <si>
    <t>TX-0165</t>
  </si>
  <si>
    <t>مدينة 6 أكتوبر</t>
  </si>
  <si>
    <t>كمبوند النخيل</t>
  </si>
  <si>
    <t>سارة عادل</t>
  </si>
  <si>
    <t>TX-0034</t>
  </si>
  <si>
    <t>مدينة نصر</t>
  </si>
  <si>
    <t>كمبوند المروج</t>
  </si>
  <si>
    <t>مكتب إداري</t>
  </si>
  <si>
    <t>—</t>
  </si>
  <si>
    <t>طارق فؤاد</t>
  </si>
  <si>
    <t>تقسيط</t>
  </si>
  <si>
    <t>TX-0078</t>
  </si>
  <si>
    <t>المعادي</t>
  </si>
  <si>
    <t>كمبوند جاردن سيتي</t>
  </si>
  <si>
    <t>محل تجاري</t>
  </si>
  <si>
    <t>TX-0129</t>
  </si>
  <si>
    <t>كمبوند الأفق</t>
  </si>
  <si>
    <t>شاليه</t>
  </si>
  <si>
    <t>TX-0160</t>
  </si>
  <si>
    <t>كمبوند البحيرة</t>
  </si>
  <si>
    <t>دينا وليد</t>
  </si>
  <si>
    <t>TX-0020</t>
  </si>
  <si>
    <t>ياسمين محمود</t>
  </si>
  <si>
    <t>TX-0127</t>
  </si>
  <si>
    <t>التجمع الخامس</t>
  </si>
  <si>
    <t>عمر خالد</t>
  </si>
  <si>
    <t>TX-0045</t>
  </si>
  <si>
    <t>TX-0164</t>
  </si>
  <si>
    <t>أحمد سعيد</t>
  </si>
  <si>
    <t>TX-0015</t>
  </si>
  <si>
    <t>كمبوند سكاي فيلدج</t>
  </si>
  <si>
    <t>كريم حسن</t>
  </si>
  <si>
    <t>TX-0149</t>
  </si>
  <si>
    <t>منى عبد الله</t>
  </si>
  <si>
    <t>ملغي</t>
  </si>
  <si>
    <t>TX-0138</t>
  </si>
  <si>
    <t>TX-0072</t>
  </si>
  <si>
    <t>العاصمة الإدارية الجديدة</t>
  </si>
  <si>
    <t>TX-0022</t>
  </si>
  <si>
    <t>TX-0120</t>
  </si>
  <si>
    <t>هبة الله سمير</t>
  </si>
  <si>
    <t>TX-0058</t>
  </si>
  <si>
    <t>TX-0130</t>
  </si>
  <si>
    <t>TX-0060</t>
  </si>
  <si>
    <t>TX-0109</t>
  </si>
  <si>
    <t>TX-0057</t>
  </si>
  <si>
    <t>TX-0070</t>
  </si>
  <si>
    <t>TX-0083</t>
  </si>
  <si>
    <t>TX-0019</t>
  </si>
  <si>
    <t>TX-0086</t>
  </si>
  <si>
    <t>TX-0100</t>
  </si>
  <si>
    <t>TX-0141</t>
  </si>
  <si>
    <t>TX-0094</t>
  </si>
  <si>
    <t>TX-0033</t>
  </si>
  <si>
    <t>TX-0050</t>
  </si>
  <si>
    <t>TX-0011</t>
  </si>
  <si>
    <t>TX-0035</t>
  </si>
  <si>
    <t>TX-0029</t>
  </si>
  <si>
    <t>TX-0124</t>
  </si>
  <si>
    <t>TX-0042</t>
  </si>
  <si>
    <t>TX-0128</t>
  </si>
  <si>
    <t>TX-0162</t>
  </si>
  <si>
    <t>TX-0021</t>
  </si>
  <si>
    <t>TX-0068</t>
  </si>
  <si>
    <t>TX-0167</t>
  </si>
  <si>
    <t>TX-0155</t>
  </si>
  <si>
    <t>TX-0161</t>
  </si>
  <si>
    <t>TX-0147</t>
  </si>
  <si>
    <t>كمبوند ريفييرا</t>
  </si>
  <si>
    <t>TX-0059</t>
  </si>
  <si>
    <t>TX-0031</t>
  </si>
  <si>
    <t>TX-0027</t>
  </si>
  <si>
    <t>TX-0051</t>
  </si>
  <si>
    <t>TX-0024</t>
  </si>
  <si>
    <t>TX-0117</t>
  </si>
  <si>
    <t>TX-0075</t>
  </si>
  <si>
    <t>TX-0108</t>
  </si>
  <si>
    <t>TX-0133</t>
  </si>
  <si>
    <t>TX-0112</t>
  </si>
  <si>
    <t>TX-0146</t>
  </si>
  <si>
    <t>TX-0153</t>
  </si>
  <si>
    <t>TX-0095</t>
  </si>
  <si>
    <t>TX-0063</t>
  </si>
  <si>
    <t>TX-0131</t>
  </si>
  <si>
    <t>TX-0180</t>
  </si>
  <si>
    <t>TX-0036</t>
  </si>
  <si>
    <t>TX-0064</t>
  </si>
  <si>
    <t>TX-0013</t>
  </si>
  <si>
    <t>TX-0074</t>
  </si>
  <si>
    <t>TX-0062</t>
  </si>
  <si>
    <t>TX-0099</t>
  </si>
  <si>
    <t>TX-0136</t>
  </si>
  <si>
    <t>TX-0096</t>
  </si>
  <si>
    <t>TX-0081</t>
  </si>
  <si>
    <t>TX-0006</t>
  </si>
  <si>
    <t>TX-0085</t>
  </si>
  <si>
    <t>TX-0144</t>
  </si>
  <si>
    <t>TX-0069</t>
  </si>
  <si>
    <t>TX-0041</t>
  </si>
  <si>
    <t>TX-0097</t>
  </si>
  <si>
    <t>TX-0037</t>
  </si>
  <si>
    <t>TX-0179</t>
  </si>
  <si>
    <t>TX-0039</t>
  </si>
  <si>
    <t>TX-0009</t>
  </si>
  <si>
    <t>TX-0159</t>
  </si>
  <si>
    <t>TX-0169</t>
  </si>
  <si>
    <t>TX-0115</t>
  </si>
  <si>
    <t>TX-0055</t>
  </si>
  <si>
    <t>TX-0032</t>
  </si>
  <si>
    <t>TX-0004</t>
  </si>
  <si>
    <t>TX-0126</t>
  </si>
  <si>
    <t>TX-0150</t>
  </si>
  <si>
    <t>TX-0056</t>
  </si>
  <si>
    <t>TX-0163</t>
  </si>
  <si>
    <t>TX-0067</t>
  </si>
  <si>
    <t>TX-0113</t>
  </si>
  <si>
    <t>TX-0170</t>
  </si>
  <si>
    <t>TX-0166</t>
  </si>
  <si>
    <t>TX-0005</t>
  </si>
  <si>
    <t>TX-0089</t>
  </si>
  <si>
    <t>TX-0140</t>
  </si>
  <si>
    <t>TX-0139</t>
  </si>
  <si>
    <t>TX-0053</t>
  </si>
  <si>
    <t>TX-0052</t>
  </si>
  <si>
    <t>TX-0091</t>
  </si>
  <si>
    <t>TX-0038</t>
  </si>
  <si>
    <t>TX-0123</t>
  </si>
  <si>
    <t>TX-0065</t>
  </si>
  <si>
    <t>TX-0107</t>
  </si>
  <si>
    <t>TX-0101</t>
  </si>
  <si>
    <t>TX-0003</t>
  </si>
  <si>
    <t>TX-0080</t>
  </si>
  <si>
    <t>TX-0017</t>
  </si>
  <si>
    <t>TX-0073</t>
  </si>
  <si>
    <t>TX-0137</t>
  </si>
  <si>
    <t>TX-0116</t>
  </si>
  <si>
    <t>TX-0023</t>
  </si>
  <si>
    <t>TX-0047</t>
  </si>
  <si>
    <t>TX-0090</t>
  </si>
  <si>
    <t>TX-0028</t>
  </si>
  <si>
    <t>TX-0114</t>
  </si>
  <si>
    <t>TX-0043</t>
  </si>
  <si>
    <t>TX-0071</t>
  </si>
  <si>
    <t>TX-0158</t>
  </si>
  <si>
    <t>TX-0102</t>
  </si>
  <si>
    <t>TX-0061</t>
  </si>
  <si>
    <t>TX-0168</t>
  </si>
  <si>
    <t>TX-0048</t>
  </si>
  <si>
    <t>TX-0143</t>
  </si>
  <si>
    <t>TX-0132</t>
  </si>
  <si>
    <t>TX-0049</t>
  </si>
  <si>
    <t>TX-0016</t>
  </si>
  <si>
    <t>TX-0025</t>
  </si>
  <si>
    <t>TX-0154</t>
  </si>
  <si>
    <t>TX-0106</t>
  </si>
  <si>
    <t>TX-0040</t>
  </si>
  <si>
    <t>TX-0014</t>
  </si>
  <si>
    <t>TX-0092</t>
  </si>
  <si>
    <t>TX-0084</t>
  </si>
  <si>
    <t>TX-0171</t>
  </si>
  <si>
    <t>TX-0103</t>
  </si>
  <si>
    <t>TX-0134</t>
  </si>
  <si>
    <t>TX-0110</t>
  </si>
  <si>
    <t>TX-0077</t>
  </si>
  <si>
    <t>TX-0026</t>
  </si>
  <si>
    <t>TX-0177</t>
  </si>
  <si>
    <t>TX-0121</t>
  </si>
  <si>
    <t>TX-0172</t>
  </si>
  <si>
    <t>TX-0157</t>
  </si>
  <si>
    <t>TX-0010</t>
  </si>
  <si>
    <t>TX-0119</t>
  </si>
  <si>
    <t>TX-0002</t>
  </si>
  <si>
    <t>TX-0054</t>
  </si>
  <si>
    <t>TX-0145</t>
  </si>
  <si>
    <t>TX-0148</t>
  </si>
  <si>
    <t>TX-0176</t>
  </si>
  <si>
    <t>TX-0152</t>
  </si>
  <si>
    <t>TX-0125</t>
  </si>
  <si>
    <t>TX-0175</t>
  </si>
  <si>
    <t>TX-0018</t>
  </si>
  <si>
    <t>TX-0135</t>
  </si>
  <si>
    <t>TX-0044</t>
  </si>
  <si>
    <t>TX-0093</t>
  </si>
  <si>
    <t>TX-0105</t>
  </si>
  <si>
    <t>TX-0156</t>
  </si>
  <si>
    <t>TX-0104</t>
  </si>
  <si>
    <t>TX-0001</t>
  </si>
  <si>
    <t>TX-0173</t>
  </si>
  <si>
    <t>TX-0142</t>
  </si>
  <si>
    <t>TX-0151</t>
  </si>
  <si>
    <t>TX-0122</t>
  </si>
  <si>
    <t>TX-0098</t>
  </si>
  <si>
    <t>TX-0087</t>
  </si>
  <si>
    <t>TX-0076</t>
  </si>
  <si>
    <t>TX-0030</t>
  </si>
  <si>
    <t>TX-0079</t>
  </si>
  <si>
    <t>TX-0007</t>
  </si>
  <si>
    <t>TX-0178</t>
  </si>
  <si>
    <t>TX-0118</t>
  </si>
  <si>
    <t>TX-0008</t>
  </si>
  <si>
    <t>TX-0066</t>
  </si>
  <si>
    <t>TX-0088</t>
  </si>
  <si>
    <t>TX-0174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</si>
</sst>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readingOrder="2"/>
    </xf>
    <xf numFmtId="164" fontId="2" fillId="0" borderId="1" xfId="0" applyNumberFormat="1" applyFont="1" applyBorder="1" applyAlignment="1">
      <alignment horizontal="center" vertical="center" readingOrder="2"/>
    </xf>
    <xf numFmtId="3" fontId="2" fillId="0" borderId="1" xfId="0" applyNumberFormat="1" applyFont="1" applyBorder="1" applyAlignment="1">
      <alignment horizontal="center" vertical="center" readingOrder="2"/>
    </xf>
    <xf numFmtId="10" fontId="2" fillId="0" borderId="1" xfId="0" applyNumberFormat="1" applyFont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164" fontId="2" fillId="3" borderId="1" xfId="0" applyNumberFormat="1" applyFont="1" applyFill="1" applyBorder="1" applyAlignment="1">
      <alignment horizontal="center" vertical="center" readingOrder="2"/>
    </xf>
    <xf numFmtId="3" fontId="2" fillId="3" borderId="1" xfId="0" applyNumberFormat="1" applyFont="1" applyFill="1" applyBorder="1" applyAlignment="1">
      <alignment horizontal="center" vertical="center" readingOrder="2"/>
    </xf>
    <xf numFmtId="10" fontId="2" fillId="3" borderId="1" xfId="0" applyNumberFormat="1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D8E9-B88C-4DDE-A015-40545C28A30C}">
  <dimension ref="A1:N181"/>
  <sheetViews>
    <sheetView tabSelected="1" zoomScaleNormal="100" workbookViewId="0">
      <pane ySplit="1" topLeftCell="A2" activePane="bottomLeft" state="frozen"/>
      <selection pane="bottomLeft" activeCell="F8" sqref="A2:N181"/>
    </sheetView>
  </sheetViews>
  <sheetFormatPr defaultColWidth="8.6640625" defaultRowHeight="14.4" x14ac:dyDescent="0.3"/>
  <cols>
    <col min="1" max="2" width="14.21875" customWidth="1"/>
    <col min="3" max="4" width="16" customWidth="1"/>
    <col min="5" max="5" width="13" customWidth="1"/>
    <col min="6" max="6" width="9" customWidth="1"/>
    <col min="7" max="7" width="11" customWidth="1"/>
    <col min="8" max="8" width="13" customWidth="1"/>
    <col min="9" max="9" width="20.77734375" customWidth="1"/>
    <col min="10" max="10" width="17.109375" customWidth="1"/>
    <col min="11" max="11" width="14.6640625" customWidth="1"/>
    <col min="12" max="13" width="10" customWidth="1"/>
    <col min="14" max="14" width="23.6640625" customWidth="1"/>
  </cols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45293</v>
      </c>
      <c r="C2" s="2" t="s">
        <v>15</v>
      </c>
      <c r="D2" s="2" t="s">
        <v>16</v>
      </c>
      <c r="E2" s="2" t="s">
        <v>17</v>
      </c>
      <c r="F2" s="2">
        <v>4</v>
      </c>
      <c r="G2" s="2">
        <v>107</v>
      </c>
      <c r="H2" s="2">
        <v>30170</v>
      </c>
      <c r="I2" s="4">
        <f t="shared" ref="I2:I65" si="0">G2*H2</f>
        <v>3228190</v>
      </c>
      <c r="J2" s="2" t="s">
        <v>18</v>
      </c>
      <c r="K2" s="2" t="s">
        <v>19</v>
      </c>
      <c r="L2" s="2" t="s">
        <v>20</v>
      </c>
      <c r="M2" s="5">
        <v>1.4E-2</v>
      </c>
      <c r="N2" s="4">
        <f t="shared" ref="N2:N65" si="1">I2*M2</f>
        <v>45194.66</v>
      </c>
    </row>
    <row r="3" spans="1:14" x14ac:dyDescent="0.3">
      <c r="A3" s="6" t="s">
        <v>21</v>
      </c>
      <c r="B3" s="7">
        <v>45294</v>
      </c>
      <c r="C3" s="6" t="s">
        <v>22</v>
      </c>
      <c r="D3" s="6" t="s">
        <v>23</v>
      </c>
      <c r="E3" s="6" t="s">
        <v>24</v>
      </c>
      <c r="F3" s="6">
        <v>2</v>
      </c>
      <c r="G3" s="6">
        <v>385</v>
      </c>
      <c r="H3" s="6">
        <v>55070</v>
      </c>
      <c r="I3" s="8">
        <f t="shared" si="0"/>
        <v>21201950</v>
      </c>
      <c r="J3" s="6" t="s">
        <v>18</v>
      </c>
      <c r="K3" s="6" t="s">
        <v>25</v>
      </c>
      <c r="L3" s="6" t="s">
        <v>20</v>
      </c>
      <c r="M3" s="9">
        <v>1.54E-2</v>
      </c>
      <c r="N3" s="8">
        <f t="shared" si="1"/>
        <v>326510.03000000003</v>
      </c>
    </row>
    <row r="4" spans="1:14" x14ac:dyDescent="0.3">
      <c r="A4" s="2" t="s">
        <v>26</v>
      </c>
      <c r="B4" s="3">
        <v>45297</v>
      </c>
      <c r="C4" s="2" t="s">
        <v>27</v>
      </c>
      <c r="D4" s="2" t="s">
        <v>16</v>
      </c>
      <c r="E4" s="2" t="s">
        <v>24</v>
      </c>
      <c r="F4" s="2">
        <v>4</v>
      </c>
      <c r="G4" s="2">
        <v>294</v>
      </c>
      <c r="H4" s="2">
        <v>46210</v>
      </c>
      <c r="I4" s="4">
        <f t="shared" si="0"/>
        <v>13585740</v>
      </c>
      <c r="J4" s="2" t="s">
        <v>28</v>
      </c>
      <c r="K4" s="2" t="s">
        <v>19</v>
      </c>
      <c r="L4" s="2" t="s">
        <v>20</v>
      </c>
      <c r="M4" s="5">
        <v>2.2700000000000001E-2</v>
      </c>
      <c r="N4" s="4">
        <f t="shared" si="1"/>
        <v>308396.29800000001</v>
      </c>
    </row>
    <row r="5" spans="1:14" x14ac:dyDescent="0.3">
      <c r="A5" s="6" t="s">
        <v>29</v>
      </c>
      <c r="B5" s="7">
        <v>45303</v>
      </c>
      <c r="C5" s="6" t="s">
        <v>27</v>
      </c>
      <c r="D5" s="6" t="s">
        <v>30</v>
      </c>
      <c r="E5" s="6" t="s">
        <v>31</v>
      </c>
      <c r="F5" s="6">
        <v>3</v>
      </c>
      <c r="G5" s="6">
        <v>315</v>
      </c>
      <c r="H5" s="6">
        <v>38020</v>
      </c>
      <c r="I5" s="8">
        <f t="shared" si="0"/>
        <v>11976300</v>
      </c>
      <c r="J5" s="6" t="s">
        <v>32</v>
      </c>
      <c r="K5" s="6" t="s">
        <v>19</v>
      </c>
      <c r="L5" s="6" t="s">
        <v>20</v>
      </c>
      <c r="M5" s="9">
        <v>2.0799999999999999E-2</v>
      </c>
      <c r="N5" s="8">
        <f t="shared" si="1"/>
        <v>249107.03999999998</v>
      </c>
    </row>
    <row r="6" spans="1:14" x14ac:dyDescent="0.3">
      <c r="A6" s="2" t="s">
        <v>33</v>
      </c>
      <c r="B6" s="3">
        <v>45327</v>
      </c>
      <c r="C6" s="2" t="s">
        <v>34</v>
      </c>
      <c r="D6" s="2" t="s">
        <v>35</v>
      </c>
      <c r="E6" s="2" t="s">
        <v>24</v>
      </c>
      <c r="F6" s="2">
        <v>4</v>
      </c>
      <c r="G6" s="2">
        <v>445</v>
      </c>
      <c r="H6" s="2">
        <v>31380</v>
      </c>
      <c r="I6" s="4">
        <f t="shared" si="0"/>
        <v>13964100</v>
      </c>
      <c r="J6" s="2" t="s">
        <v>36</v>
      </c>
      <c r="K6" s="2" t="s">
        <v>19</v>
      </c>
      <c r="L6" s="2" t="s">
        <v>20</v>
      </c>
      <c r="M6" s="5">
        <v>1.67E-2</v>
      </c>
      <c r="N6" s="4">
        <f t="shared" si="1"/>
        <v>233200.47</v>
      </c>
    </row>
    <row r="7" spans="1:14" x14ac:dyDescent="0.3">
      <c r="A7" s="6" t="s">
        <v>37</v>
      </c>
      <c r="B7" s="7">
        <v>45332</v>
      </c>
      <c r="C7" s="6" t="s">
        <v>38</v>
      </c>
      <c r="D7" s="6" t="s">
        <v>39</v>
      </c>
      <c r="E7" s="6" t="s">
        <v>40</v>
      </c>
      <c r="F7" s="6" t="s">
        <v>41</v>
      </c>
      <c r="G7" s="6">
        <v>95</v>
      </c>
      <c r="H7" s="6">
        <v>36810</v>
      </c>
      <c r="I7" s="8">
        <f t="shared" si="0"/>
        <v>3496950</v>
      </c>
      <c r="J7" s="6" t="s">
        <v>42</v>
      </c>
      <c r="K7" s="6" t="s">
        <v>25</v>
      </c>
      <c r="L7" s="6" t="s">
        <v>43</v>
      </c>
      <c r="M7" s="9">
        <v>1.9300000000000001E-2</v>
      </c>
      <c r="N7" s="8">
        <f t="shared" si="1"/>
        <v>67491.135000000009</v>
      </c>
    </row>
    <row r="8" spans="1:14" x14ac:dyDescent="0.3">
      <c r="A8" s="2" t="s">
        <v>44</v>
      </c>
      <c r="B8" s="3">
        <v>45332</v>
      </c>
      <c r="C8" s="2" t="s">
        <v>45</v>
      </c>
      <c r="D8" s="2" t="s">
        <v>46</v>
      </c>
      <c r="E8" s="2" t="s">
        <v>47</v>
      </c>
      <c r="F8" s="2" t="s">
        <v>41</v>
      </c>
      <c r="G8" s="2">
        <v>68</v>
      </c>
      <c r="H8" s="2">
        <v>49680</v>
      </c>
      <c r="I8" s="4">
        <f t="shared" si="0"/>
        <v>3378240</v>
      </c>
      <c r="J8" s="2" t="s">
        <v>18</v>
      </c>
      <c r="K8" s="2" t="s">
        <v>25</v>
      </c>
      <c r="L8" s="2" t="s">
        <v>43</v>
      </c>
      <c r="M8" s="5">
        <v>2.4299999999999999E-2</v>
      </c>
      <c r="N8" s="4">
        <f t="shared" si="1"/>
        <v>82091.231999999989</v>
      </c>
    </row>
    <row r="9" spans="1:14" x14ac:dyDescent="0.3">
      <c r="A9" s="6" t="s">
        <v>48</v>
      </c>
      <c r="B9" s="7">
        <v>45335</v>
      </c>
      <c r="C9" s="6" t="s">
        <v>45</v>
      </c>
      <c r="D9" s="6" t="s">
        <v>49</v>
      </c>
      <c r="E9" s="6" t="s">
        <v>50</v>
      </c>
      <c r="F9" s="6">
        <v>4</v>
      </c>
      <c r="G9" s="6">
        <v>144</v>
      </c>
      <c r="H9" s="6">
        <v>34000</v>
      </c>
      <c r="I9" s="8">
        <f t="shared" si="0"/>
        <v>4896000</v>
      </c>
      <c r="J9" s="6" t="s">
        <v>32</v>
      </c>
      <c r="K9" s="6" t="s">
        <v>19</v>
      </c>
      <c r="L9" s="6" t="s">
        <v>43</v>
      </c>
      <c r="M9" s="9">
        <v>1.6299999999999999E-2</v>
      </c>
      <c r="N9" s="8">
        <f t="shared" si="1"/>
        <v>79804.799999999988</v>
      </c>
    </row>
    <row r="10" spans="1:14" x14ac:dyDescent="0.3">
      <c r="A10" s="2" t="s">
        <v>51</v>
      </c>
      <c r="B10" s="3">
        <v>45340</v>
      </c>
      <c r="C10" s="2" t="s">
        <v>38</v>
      </c>
      <c r="D10" s="2" t="s">
        <v>52</v>
      </c>
      <c r="E10" s="2" t="s">
        <v>17</v>
      </c>
      <c r="F10" s="2">
        <v>4</v>
      </c>
      <c r="G10" s="2">
        <v>162</v>
      </c>
      <c r="H10" s="2">
        <v>29290</v>
      </c>
      <c r="I10" s="4">
        <f t="shared" si="0"/>
        <v>4744980</v>
      </c>
      <c r="J10" s="2" t="s">
        <v>53</v>
      </c>
      <c r="K10" s="2" t="s">
        <v>19</v>
      </c>
      <c r="L10" s="2" t="s">
        <v>43</v>
      </c>
      <c r="M10" s="5">
        <v>1.5100000000000001E-2</v>
      </c>
      <c r="N10" s="4">
        <f t="shared" si="1"/>
        <v>71649.198000000004</v>
      </c>
    </row>
    <row r="11" spans="1:14" x14ac:dyDescent="0.3">
      <c r="A11" s="6" t="s">
        <v>54</v>
      </c>
      <c r="B11" s="7">
        <v>45347</v>
      </c>
      <c r="C11" s="6" t="s">
        <v>27</v>
      </c>
      <c r="D11" s="6" t="s">
        <v>49</v>
      </c>
      <c r="E11" s="6" t="s">
        <v>50</v>
      </c>
      <c r="F11" s="6">
        <v>2</v>
      </c>
      <c r="G11" s="6">
        <v>131</v>
      </c>
      <c r="H11" s="6">
        <v>36370</v>
      </c>
      <c r="I11" s="8">
        <f t="shared" si="0"/>
        <v>4764470</v>
      </c>
      <c r="J11" s="6" t="s">
        <v>55</v>
      </c>
      <c r="K11" s="6" t="s">
        <v>19</v>
      </c>
      <c r="L11" s="6" t="s">
        <v>43</v>
      </c>
      <c r="M11" s="9">
        <v>1.21E-2</v>
      </c>
      <c r="N11" s="8">
        <f t="shared" si="1"/>
        <v>57650.087</v>
      </c>
    </row>
    <row r="12" spans="1:14" x14ac:dyDescent="0.3">
      <c r="A12" s="2" t="s">
        <v>56</v>
      </c>
      <c r="B12" s="3">
        <v>45348</v>
      </c>
      <c r="C12" s="2" t="s">
        <v>57</v>
      </c>
      <c r="D12" s="2" t="s">
        <v>39</v>
      </c>
      <c r="E12" s="2" t="s">
        <v>31</v>
      </c>
      <c r="F12" s="2">
        <v>3</v>
      </c>
      <c r="G12" s="2">
        <v>342</v>
      </c>
      <c r="H12" s="2">
        <v>40080</v>
      </c>
      <c r="I12" s="4">
        <f t="shared" si="0"/>
        <v>13707360</v>
      </c>
      <c r="J12" s="2" t="s">
        <v>58</v>
      </c>
      <c r="K12" s="2" t="s">
        <v>19</v>
      </c>
      <c r="L12" s="2" t="s">
        <v>20</v>
      </c>
      <c r="M12" s="5">
        <v>2.12E-2</v>
      </c>
      <c r="N12" s="4">
        <f t="shared" si="1"/>
        <v>290596.03200000001</v>
      </c>
    </row>
    <row r="13" spans="1:14" x14ac:dyDescent="0.3">
      <c r="A13" s="6" t="s">
        <v>59</v>
      </c>
      <c r="B13" s="7">
        <v>45366</v>
      </c>
      <c r="C13" s="6" t="s">
        <v>15</v>
      </c>
      <c r="D13" s="6" t="s">
        <v>16</v>
      </c>
      <c r="E13" s="6" t="s">
        <v>40</v>
      </c>
      <c r="F13" s="6" t="s">
        <v>41</v>
      </c>
      <c r="G13" s="6">
        <v>141</v>
      </c>
      <c r="H13" s="6">
        <v>44230</v>
      </c>
      <c r="I13" s="8">
        <f t="shared" si="0"/>
        <v>6236430</v>
      </c>
      <c r="J13" s="6" t="s">
        <v>32</v>
      </c>
      <c r="K13" s="6" t="s">
        <v>19</v>
      </c>
      <c r="L13" s="6" t="s">
        <v>20</v>
      </c>
      <c r="M13" s="9">
        <v>1.9800000000000002E-2</v>
      </c>
      <c r="N13" s="8">
        <f t="shared" si="1"/>
        <v>123481.31400000001</v>
      </c>
    </row>
    <row r="14" spans="1:14" x14ac:dyDescent="0.3">
      <c r="A14" s="2" t="s">
        <v>60</v>
      </c>
      <c r="B14" s="3">
        <v>45368</v>
      </c>
      <c r="C14" s="2" t="s">
        <v>45</v>
      </c>
      <c r="D14" s="2" t="s">
        <v>46</v>
      </c>
      <c r="E14" s="2" t="s">
        <v>47</v>
      </c>
      <c r="F14" s="2" t="s">
        <v>41</v>
      </c>
      <c r="G14" s="2">
        <v>128</v>
      </c>
      <c r="H14" s="2">
        <v>56670</v>
      </c>
      <c r="I14" s="4">
        <f t="shared" si="0"/>
        <v>7253760</v>
      </c>
      <c r="J14" s="2" t="s">
        <v>61</v>
      </c>
      <c r="K14" s="2" t="s">
        <v>19</v>
      </c>
      <c r="L14" s="2" t="s">
        <v>43</v>
      </c>
      <c r="M14" s="5">
        <v>2.1700000000000001E-2</v>
      </c>
      <c r="N14" s="4">
        <f t="shared" si="1"/>
        <v>157406.592</v>
      </c>
    </row>
    <row r="15" spans="1:14" x14ac:dyDescent="0.3">
      <c r="A15" s="6" t="s">
        <v>62</v>
      </c>
      <c r="B15" s="7">
        <v>45372</v>
      </c>
      <c r="C15" s="6" t="s">
        <v>27</v>
      </c>
      <c r="D15" s="6" t="s">
        <v>63</v>
      </c>
      <c r="E15" s="6" t="s">
        <v>17</v>
      </c>
      <c r="F15" s="6">
        <v>3</v>
      </c>
      <c r="G15" s="6">
        <v>178</v>
      </c>
      <c r="H15" s="6">
        <v>37030</v>
      </c>
      <c r="I15" s="8">
        <f t="shared" si="0"/>
        <v>6591340</v>
      </c>
      <c r="J15" s="6" t="s">
        <v>64</v>
      </c>
      <c r="K15" s="6" t="s">
        <v>19</v>
      </c>
      <c r="L15" s="6" t="s">
        <v>43</v>
      </c>
      <c r="M15" s="9">
        <v>1.2500000000000001E-2</v>
      </c>
      <c r="N15" s="8">
        <f t="shared" si="1"/>
        <v>82391.75</v>
      </c>
    </row>
    <row r="16" spans="1:14" x14ac:dyDescent="0.3">
      <c r="A16" s="2" t="s">
        <v>65</v>
      </c>
      <c r="B16" s="3">
        <v>45377</v>
      </c>
      <c r="C16" s="2" t="s">
        <v>34</v>
      </c>
      <c r="D16" s="2" t="s">
        <v>52</v>
      </c>
      <c r="E16" s="2" t="s">
        <v>50</v>
      </c>
      <c r="F16" s="2">
        <v>4</v>
      </c>
      <c r="G16" s="2">
        <v>143</v>
      </c>
      <c r="H16" s="2">
        <v>24240</v>
      </c>
      <c r="I16" s="4">
        <f t="shared" si="0"/>
        <v>3466320</v>
      </c>
      <c r="J16" s="2" t="s">
        <v>66</v>
      </c>
      <c r="K16" s="2" t="s">
        <v>67</v>
      </c>
      <c r="L16" s="2" t="s">
        <v>20</v>
      </c>
      <c r="M16" s="5">
        <v>1.6799999999999999E-2</v>
      </c>
      <c r="N16" s="4">
        <f t="shared" si="1"/>
        <v>58234.175999999999</v>
      </c>
    </row>
    <row r="17" spans="1:14" x14ac:dyDescent="0.3">
      <c r="A17" s="6" t="s">
        <v>68</v>
      </c>
      <c r="B17" s="7">
        <v>45378</v>
      </c>
      <c r="C17" s="6" t="s">
        <v>34</v>
      </c>
      <c r="D17" s="6" t="s">
        <v>49</v>
      </c>
      <c r="E17" s="6" t="s">
        <v>24</v>
      </c>
      <c r="F17" s="6">
        <v>4</v>
      </c>
      <c r="G17" s="6">
        <v>427</v>
      </c>
      <c r="H17" s="6">
        <v>35780</v>
      </c>
      <c r="I17" s="8">
        <f t="shared" si="0"/>
        <v>15278060</v>
      </c>
      <c r="J17" s="6" t="s">
        <v>42</v>
      </c>
      <c r="K17" s="6" t="s">
        <v>19</v>
      </c>
      <c r="L17" s="6" t="s">
        <v>43</v>
      </c>
      <c r="M17" s="9">
        <v>2.3800000000000002E-2</v>
      </c>
      <c r="N17" s="8">
        <f t="shared" si="1"/>
        <v>363617.82800000004</v>
      </c>
    </row>
    <row r="18" spans="1:14" x14ac:dyDescent="0.3">
      <c r="A18" s="2" t="s">
        <v>69</v>
      </c>
      <c r="B18" s="3">
        <v>45379</v>
      </c>
      <c r="C18" s="2" t="s">
        <v>70</v>
      </c>
      <c r="D18" s="2" t="s">
        <v>35</v>
      </c>
      <c r="E18" s="2" t="s">
        <v>47</v>
      </c>
      <c r="F18" s="2" t="s">
        <v>41</v>
      </c>
      <c r="G18" s="2">
        <v>124</v>
      </c>
      <c r="H18" s="2">
        <v>53480</v>
      </c>
      <c r="I18" s="4">
        <f t="shared" si="0"/>
        <v>6631520</v>
      </c>
      <c r="J18" s="2" t="s">
        <v>36</v>
      </c>
      <c r="K18" s="2" t="s">
        <v>19</v>
      </c>
      <c r="L18" s="2" t="s">
        <v>43</v>
      </c>
      <c r="M18" s="5">
        <v>1.6799999999999999E-2</v>
      </c>
      <c r="N18" s="4">
        <f t="shared" si="1"/>
        <v>111409.53599999999</v>
      </c>
    </row>
    <row r="19" spans="1:14" x14ac:dyDescent="0.3">
      <c r="A19" s="6" t="s">
        <v>71</v>
      </c>
      <c r="B19" s="7">
        <v>45387</v>
      </c>
      <c r="C19" s="6" t="s">
        <v>70</v>
      </c>
      <c r="D19" s="6" t="s">
        <v>23</v>
      </c>
      <c r="E19" s="6" t="s">
        <v>50</v>
      </c>
      <c r="F19" s="6">
        <v>4</v>
      </c>
      <c r="G19" s="6">
        <v>114</v>
      </c>
      <c r="H19" s="6">
        <v>28320</v>
      </c>
      <c r="I19" s="8">
        <f t="shared" si="0"/>
        <v>3228480</v>
      </c>
      <c r="J19" s="6" t="s">
        <v>61</v>
      </c>
      <c r="K19" s="6" t="s">
        <v>19</v>
      </c>
      <c r="L19" s="6" t="s">
        <v>20</v>
      </c>
      <c r="M19" s="9">
        <v>1.5900000000000001E-2</v>
      </c>
      <c r="N19" s="8">
        <f t="shared" si="1"/>
        <v>51332.832000000002</v>
      </c>
    </row>
    <row r="20" spans="1:14" x14ac:dyDescent="0.3">
      <c r="A20" s="2" t="s">
        <v>72</v>
      </c>
      <c r="B20" s="3">
        <v>45398</v>
      </c>
      <c r="C20" s="2" t="s">
        <v>70</v>
      </c>
      <c r="D20" s="2" t="s">
        <v>23</v>
      </c>
      <c r="E20" s="2" t="s">
        <v>40</v>
      </c>
      <c r="F20" s="2" t="s">
        <v>41</v>
      </c>
      <c r="G20" s="2">
        <v>128</v>
      </c>
      <c r="H20" s="2">
        <v>47480</v>
      </c>
      <c r="I20" s="4">
        <f t="shared" si="0"/>
        <v>6077440</v>
      </c>
      <c r="J20" s="2" t="s">
        <v>73</v>
      </c>
      <c r="K20" s="2" t="s">
        <v>25</v>
      </c>
      <c r="L20" s="2" t="s">
        <v>43</v>
      </c>
      <c r="M20" s="5">
        <v>2.1399999999999999E-2</v>
      </c>
      <c r="N20" s="4">
        <f t="shared" si="1"/>
        <v>130057.216</v>
      </c>
    </row>
    <row r="21" spans="1:14" x14ac:dyDescent="0.3">
      <c r="A21" s="6" t="s">
        <v>74</v>
      </c>
      <c r="B21" s="7">
        <v>45409</v>
      </c>
      <c r="C21" s="6" t="s">
        <v>34</v>
      </c>
      <c r="D21" s="6" t="s">
        <v>52</v>
      </c>
      <c r="E21" s="6" t="s">
        <v>17</v>
      </c>
      <c r="F21" s="6">
        <v>4</v>
      </c>
      <c r="G21" s="6">
        <v>142</v>
      </c>
      <c r="H21" s="6">
        <v>30920</v>
      </c>
      <c r="I21" s="8">
        <f t="shared" si="0"/>
        <v>4390640</v>
      </c>
      <c r="J21" s="6" t="s">
        <v>18</v>
      </c>
      <c r="K21" s="6" t="s">
        <v>67</v>
      </c>
      <c r="L21" s="6" t="s">
        <v>43</v>
      </c>
      <c r="M21" s="9">
        <v>2.41E-2</v>
      </c>
      <c r="N21" s="8">
        <f t="shared" si="1"/>
        <v>105814.424</v>
      </c>
    </row>
    <row r="22" spans="1:14" x14ac:dyDescent="0.3">
      <c r="A22" s="2" t="s">
        <v>75</v>
      </c>
      <c r="B22" s="3">
        <v>45409</v>
      </c>
      <c r="C22" s="2" t="s">
        <v>45</v>
      </c>
      <c r="D22" s="2" t="s">
        <v>49</v>
      </c>
      <c r="E22" s="2" t="s">
        <v>31</v>
      </c>
      <c r="F22" s="2">
        <v>4</v>
      </c>
      <c r="G22" s="2">
        <v>226</v>
      </c>
      <c r="H22" s="2">
        <v>39910</v>
      </c>
      <c r="I22" s="4">
        <f t="shared" si="0"/>
        <v>9019660</v>
      </c>
      <c r="J22" s="2" t="s">
        <v>53</v>
      </c>
      <c r="K22" s="2" t="s">
        <v>67</v>
      </c>
      <c r="L22" s="2" t="s">
        <v>20</v>
      </c>
      <c r="M22" s="5">
        <v>2.2700000000000001E-2</v>
      </c>
      <c r="N22" s="4">
        <f t="shared" si="1"/>
        <v>204746.28200000001</v>
      </c>
    </row>
    <row r="23" spans="1:14" x14ac:dyDescent="0.3">
      <c r="A23" s="6" t="s">
        <v>76</v>
      </c>
      <c r="B23" s="7">
        <v>45415</v>
      </c>
      <c r="C23" s="6" t="s">
        <v>57</v>
      </c>
      <c r="D23" s="6" t="s">
        <v>46</v>
      </c>
      <c r="E23" s="6" t="s">
        <v>47</v>
      </c>
      <c r="F23" s="6" t="s">
        <v>41</v>
      </c>
      <c r="G23" s="6">
        <v>87</v>
      </c>
      <c r="H23" s="6">
        <v>55210</v>
      </c>
      <c r="I23" s="8">
        <f t="shared" si="0"/>
        <v>4803270</v>
      </c>
      <c r="J23" s="6" t="s">
        <v>42</v>
      </c>
      <c r="K23" s="6" t="s">
        <v>19</v>
      </c>
      <c r="L23" s="6" t="s">
        <v>20</v>
      </c>
      <c r="M23" s="9">
        <v>1.6299999999999999E-2</v>
      </c>
      <c r="N23" s="8">
        <f t="shared" si="1"/>
        <v>78293.300999999992</v>
      </c>
    </row>
    <row r="24" spans="1:14" x14ac:dyDescent="0.3">
      <c r="A24" s="2" t="s">
        <v>77</v>
      </c>
      <c r="B24" s="3">
        <v>45417</v>
      </c>
      <c r="C24" s="2" t="s">
        <v>15</v>
      </c>
      <c r="D24" s="2" t="s">
        <v>35</v>
      </c>
      <c r="E24" s="2" t="s">
        <v>40</v>
      </c>
      <c r="F24" s="2" t="s">
        <v>41</v>
      </c>
      <c r="G24" s="2">
        <v>90</v>
      </c>
      <c r="H24" s="2">
        <v>43500</v>
      </c>
      <c r="I24" s="4">
        <f t="shared" si="0"/>
        <v>3915000</v>
      </c>
      <c r="J24" s="2" t="s">
        <v>61</v>
      </c>
      <c r="K24" s="2" t="s">
        <v>19</v>
      </c>
      <c r="L24" s="2" t="s">
        <v>43</v>
      </c>
      <c r="M24" s="5">
        <v>2.4799999999999999E-2</v>
      </c>
      <c r="N24" s="4">
        <f t="shared" si="1"/>
        <v>97092</v>
      </c>
    </row>
    <row r="25" spans="1:14" x14ac:dyDescent="0.3">
      <c r="A25" s="6" t="s">
        <v>78</v>
      </c>
      <c r="B25" s="7">
        <v>45421</v>
      </c>
      <c r="C25" s="6" t="s">
        <v>15</v>
      </c>
      <c r="D25" s="6" t="s">
        <v>35</v>
      </c>
      <c r="E25" s="6" t="s">
        <v>47</v>
      </c>
      <c r="F25" s="6" t="s">
        <v>41</v>
      </c>
      <c r="G25" s="6">
        <v>144</v>
      </c>
      <c r="H25" s="6">
        <v>49610</v>
      </c>
      <c r="I25" s="8">
        <f t="shared" si="0"/>
        <v>7143840</v>
      </c>
      <c r="J25" s="6" t="s">
        <v>58</v>
      </c>
      <c r="K25" s="6" t="s">
        <v>25</v>
      </c>
      <c r="L25" s="6" t="s">
        <v>20</v>
      </c>
      <c r="M25" s="9">
        <v>1.9099999999999999E-2</v>
      </c>
      <c r="N25" s="8">
        <f t="shared" si="1"/>
        <v>136447.34399999998</v>
      </c>
    </row>
    <row r="26" spans="1:14" x14ac:dyDescent="0.3">
      <c r="A26" s="2" t="s">
        <v>79</v>
      </c>
      <c r="B26" s="3">
        <v>45421</v>
      </c>
      <c r="C26" s="2" t="s">
        <v>15</v>
      </c>
      <c r="D26" s="2" t="s">
        <v>35</v>
      </c>
      <c r="E26" s="2" t="s">
        <v>17</v>
      </c>
      <c r="F26" s="2">
        <v>4</v>
      </c>
      <c r="G26" s="2">
        <v>142</v>
      </c>
      <c r="H26" s="2">
        <v>30900</v>
      </c>
      <c r="I26" s="4">
        <f t="shared" si="0"/>
        <v>4387800</v>
      </c>
      <c r="J26" s="2" t="s">
        <v>73</v>
      </c>
      <c r="K26" s="2" t="s">
        <v>19</v>
      </c>
      <c r="L26" s="2" t="s">
        <v>20</v>
      </c>
      <c r="M26" s="5">
        <v>2.41E-2</v>
      </c>
      <c r="N26" s="4">
        <f t="shared" si="1"/>
        <v>105745.98</v>
      </c>
    </row>
    <row r="27" spans="1:14" x14ac:dyDescent="0.3">
      <c r="A27" s="6" t="s">
        <v>80</v>
      </c>
      <c r="B27" s="7">
        <v>45426</v>
      </c>
      <c r="C27" s="6" t="s">
        <v>22</v>
      </c>
      <c r="D27" s="6" t="s">
        <v>63</v>
      </c>
      <c r="E27" s="6" t="s">
        <v>40</v>
      </c>
      <c r="F27" s="6" t="s">
        <v>41</v>
      </c>
      <c r="G27" s="6">
        <v>128</v>
      </c>
      <c r="H27" s="6">
        <v>55110</v>
      </c>
      <c r="I27" s="8">
        <f t="shared" si="0"/>
        <v>7054080</v>
      </c>
      <c r="J27" s="6" t="s">
        <v>18</v>
      </c>
      <c r="K27" s="6" t="s">
        <v>19</v>
      </c>
      <c r="L27" s="6" t="s">
        <v>20</v>
      </c>
      <c r="M27" s="9">
        <v>1.24E-2</v>
      </c>
      <c r="N27" s="8">
        <f t="shared" si="1"/>
        <v>87470.592000000004</v>
      </c>
    </row>
    <row r="28" spans="1:14" x14ac:dyDescent="0.3">
      <c r="A28" s="2" t="s">
        <v>81</v>
      </c>
      <c r="B28" s="3">
        <v>45427</v>
      </c>
      <c r="C28" s="2" t="s">
        <v>15</v>
      </c>
      <c r="D28" s="2" t="s">
        <v>39</v>
      </c>
      <c r="E28" s="2" t="s">
        <v>50</v>
      </c>
      <c r="F28" s="2">
        <v>2</v>
      </c>
      <c r="G28" s="2">
        <v>137</v>
      </c>
      <c r="H28" s="2">
        <v>26940</v>
      </c>
      <c r="I28" s="4">
        <f t="shared" si="0"/>
        <v>3690780</v>
      </c>
      <c r="J28" s="2" t="s">
        <v>18</v>
      </c>
      <c r="K28" s="2" t="s">
        <v>19</v>
      </c>
      <c r="L28" s="2" t="s">
        <v>43</v>
      </c>
      <c r="M28" s="5">
        <v>1.7000000000000001E-2</v>
      </c>
      <c r="N28" s="4">
        <f t="shared" si="1"/>
        <v>62743.26</v>
      </c>
    </row>
    <row r="29" spans="1:14" x14ac:dyDescent="0.3">
      <c r="A29" s="6" t="s">
        <v>82</v>
      </c>
      <c r="B29" s="7">
        <v>45431</v>
      </c>
      <c r="C29" s="6" t="s">
        <v>27</v>
      </c>
      <c r="D29" s="6" t="s">
        <v>52</v>
      </c>
      <c r="E29" s="6" t="s">
        <v>50</v>
      </c>
      <c r="F29" s="6">
        <v>3</v>
      </c>
      <c r="G29" s="6">
        <v>104</v>
      </c>
      <c r="H29" s="6">
        <v>36280</v>
      </c>
      <c r="I29" s="8">
        <f t="shared" si="0"/>
        <v>3773120</v>
      </c>
      <c r="J29" s="6" t="s">
        <v>61</v>
      </c>
      <c r="K29" s="6" t="s">
        <v>19</v>
      </c>
      <c r="L29" s="6" t="s">
        <v>20</v>
      </c>
      <c r="M29" s="9">
        <v>1.8800000000000001E-2</v>
      </c>
      <c r="N29" s="8">
        <f t="shared" si="1"/>
        <v>70934.656000000003</v>
      </c>
    </row>
    <row r="30" spans="1:14" x14ac:dyDescent="0.3">
      <c r="A30" s="2" t="s">
        <v>83</v>
      </c>
      <c r="B30" s="3">
        <v>45432</v>
      </c>
      <c r="C30" s="2" t="s">
        <v>27</v>
      </c>
      <c r="D30" s="2" t="s">
        <v>49</v>
      </c>
      <c r="E30" s="2" t="s">
        <v>31</v>
      </c>
      <c r="F30" s="2">
        <v>3</v>
      </c>
      <c r="G30" s="2">
        <v>318</v>
      </c>
      <c r="H30" s="2">
        <v>35390</v>
      </c>
      <c r="I30" s="4">
        <f t="shared" si="0"/>
        <v>11254020</v>
      </c>
      <c r="J30" s="2" t="s">
        <v>53</v>
      </c>
      <c r="K30" s="2" t="s">
        <v>19</v>
      </c>
      <c r="L30" s="2" t="s">
        <v>43</v>
      </c>
      <c r="M30" s="5">
        <v>1.49E-2</v>
      </c>
      <c r="N30" s="4">
        <f t="shared" si="1"/>
        <v>167684.89799999999</v>
      </c>
    </row>
    <row r="31" spans="1:14" x14ac:dyDescent="0.3">
      <c r="A31" s="6" t="s">
        <v>84</v>
      </c>
      <c r="B31" s="7">
        <v>45436</v>
      </c>
      <c r="C31" s="6" t="s">
        <v>38</v>
      </c>
      <c r="D31" s="6" t="s">
        <v>52</v>
      </c>
      <c r="E31" s="6" t="s">
        <v>40</v>
      </c>
      <c r="F31" s="6" t="s">
        <v>41</v>
      </c>
      <c r="G31" s="6">
        <v>158</v>
      </c>
      <c r="H31" s="6">
        <v>39350</v>
      </c>
      <c r="I31" s="8">
        <f t="shared" si="0"/>
        <v>6217300</v>
      </c>
      <c r="J31" s="6" t="s">
        <v>36</v>
      </c>
      <c r="K31" s="6" t="s">
        <v>25</v>
      </c>
      <c r="L31" s="6" t="s">
        <v>20</v>
      </c>
      <c r="M31" s="9">
        <v>1.84E-2</v>
      </c>
      <c r="N31" s="8">
        <f t="shared" si="1"/>
        <v>114398.31999999999</v>
      </c>
    </row>
    <row r="32" spans="1:14" x14ac:dyDescent="0.3">
      <c r="A32" s="2" t="s">
        <v>85</v>
      </c>
      <c r="B32" s="3">
        <v>45441</v>
      </c>
      <c r="C32" s="2" t="s">
        <v>70</v>
      </c>
      <c r="D32" s="2" t="s">
        <v>30</v>
      </c>
      <c r="E32" s="2" t="s">
        <v>50</v>
      </c>
      <c r="F32" s="2">
        <v>3</v>
      </c>
      <c r="G32" s="2">
        <v>120</v>
      </c>
      <c r="H32" s="2">
        <v>32120</v>
      </c>
      <c r="I32" s="4">
        <f t="shared" si="0"/>
        <v>3854400</v>
      </c>
      <c r="J32" s="2" t="s">
        <v>64</v>
      </c>
      <c r="K32" s="2" t="s">
        <v>19</v>
      </c>
      <c r="L32" s="2" t="s">
        <v>43</v>
      </c>
      <c r="M32" s="5">
        <v>1.9300000000000001E-2</v>
      </c>
      <c r="N32" s="4">
        <f t="shared" si="1"/>
        <v>74389.919999999998</v>
      </c>
    </row>
    <row r="33" spans="1:14" x14ac:dyDescent="0.3">
      <c r="A33" s="6" t="s">
        <v>86</v>
      </c>
      <c r="B33" s="7">
        <v>45444</v>
      </c>
      <c r="C33" s="6" t="s">
        <v>57</v>
      </c>
      <c r="D33" s="6" t="s">
        <v>46</v>
      </c>
      <c r="E33" s="6" t="s">
        <v>47</v>
      </c>
      <c r="F33" s="6" t="s">
        <v>41</v>
      </c>
      <c r="G33" s="6">
        <v>101</v>
      </c>
      <c r="H33" s="6">
        <v>55940</v>
      </c>
      <c r="I33" s="8">
        <f t="shared" si="0"/>
        <v>5649940</v>
      </c>
      <c r="J33" s="6" t="s">
        <v>61</v>
      </c>
      <c r="K33" s="6" t="s">
        <v>19</v>
      </c>
      <c r="L33" s="6" t="s">
        <v>43</v>
      </c>
      <c r="M33" s="9">
        <v>2.1899999999999999E-2</v>
      </c>
      <c r="N33" s="8">
        <f t="shared" si="1"/>
        <v>123733.686</v>
      </c>
    </row>
    <row r="34" spans="1:14" x14ac:dyDescent="0.3">
      <c r="A34" s="2" t="s">
        <v>87</v>
      </c>
      <c r="B34" s="3">
        <v>45446</v>
      </c>
      <c r="C34" s="2" t="s">
        <v>70</v>
      </c>
      <c r="D34" s="2" t="s">
        <v>16</v>
      </c>
      <c r="E34" s="2" t="s">
        <v>40</v>
      </c>
      <c r="F34" s="2" t="s">
        <v>41</v>
      </c>
      <c r="G34" s="2">
        <v>81</v>
      </c>
      <c r="H34" s="2">
        <v>41390</v>
      </c>
      <c r="I34" s="4">
        <f t="shared" si="0"/>
        <v>3352590</v>
      </c>
      <c r="J34" s="2" t="s">
        <v>32</v>
      </c>
      <c r="K34" s="2" t="s">
        <v>19</v>
      </c>
      <c r="L34" s="2" t="s">
        <v>43</v>
      </c>
      <c r="M34" s="5">
        <v>1.6199999999999999E-2</v>
      </c>
      <c r="N34" s="4">
        <f t="shared" si="1"/>
        <v>54311.957999999999</v>
      </c>
    </row>
    <row r="35" spans="1:14" x14ac:dyDescent="0.3">
      <c r="A35" s="6" t="s">
        <v>88</v>
      </c>
      <c r="B35" s="7">
        <v>45448</v>
      </c>
      <c r="C35" s="6" t="s">
        <v>34</v>
      </c>
      <c r="D35" s="6" t="s">
        <v>16</v>
      </c>
      <c r="E35" s="6" t="s">
        <v>47</v>
      </c>
      <c r="F35" s="6" t="s">
        <v>41</v>
      </c>
      <c r="G35" s="6">
        <v>47</v>
      </c>
      <c r="H35" s="6">
        <v>44280</v>
      </c>
      <c r="I35" s="8">
        <f t="shared" si="0"/>
        <v>2081160</v>
      </c>
      <c r="J35" s="6" t="s">
        <v>28</v>
      </c>
      <c r="K35" s="6" t="s">
        <v>19</v>
      </c>
      <c r="L35" s="6" t="s">
        <v>43</v>
      </c>
      <c r="M35" s="9">
        <v>2.29E-2</v>
      </c>
      <c r="N35" s="8">
        <f t="shared" si="1"/>
        <v>47658.563999999998</v>
      </c>
    </row>
    <row r="36" spans="1:14" x14ac:dyDescent="0.3">
      <c r="A36" s="2" t="s">
        <v>89</v>
      </c>
      <c r="B36" s="3">
        <v>45450</v>
      </c>
      <c r="C36" s="2" t="s">
        <v>70</v>
      </c>
      <c r="D36" s="2" t="s">
        <v>23</v>
      </c>
      <c r="E36" s="2" t="s">
        <v>24</v>
      </c>
      <c r="F36" s="2">
        <v>5</v>
      </c>
      <c r="G36" s="2">
        <v>470</v>
      </c>
      <c r="H36" s="2">
        <v>33320</v>
      </c>
      <c r="I36" s="4">
        <f t="shared" si="0"/>
        <v>15660400</v>
      </c>
      <c r="J36" s="2" t="s">
        <v>73</v>
      </c>
      <c r="K36" s="2" t="s">
        <v>25</v>
      </c>
      <c r="L36" s="2" t="s">
        <v>43</v>
      </c>
      <c r="M36" s="5">
        <v>0.02</v>
      </c>
      <c r="N36" s="4">
        <f t="shared" si="1"/>
        <v>313208</v>
      </c>
    </row>
    <row r="37" spans="1:14" x14ac:dyDescent="0.3">
      <c r="A37" s="6" t="s">
        <v>90</v>
      </c>
      <c r="B37" s="7">
        <v>45453</v>
      </c>
      <c r="C37" s="6" t="s">
        <v>15</v>
      </c>
      <c r="D37" s="6" t="s">
        <v>30</v>
      </c>
      <c r="E37" s="6" t="s">
        <v>40</v>
      </c>
      <c r="F37" s="6" t="s">
        <v>41</v>
      </c>
      <c r="G37" s="6">
        <v>102</v>
      </c>
      <c r="H37" s="6">
        <v>46670</v>
      </c>
      <c r="I37" s="8">
        <f t="shared" si="0"/>
        <v>4760340</v>
      </c>
      <c r="J37" s="6" t="s">
        <v>18</v>
      </c>
      <c r="K37" s="6" t="s">
        <v>19</v>
      </c>
      <c r="L37" s="6" t="s">
        <v>43</v>
      </c>
      <c r="M37" s="9">
        <v>1.83E-2</v>
      </c>
      <c r="N37" s="8">
        <f t="shared" si="1"/>
        <v>87114.221999999994</v>
      </c>
    </row>
    <row r="38" spans="1:14" x14ac:dyDescent="0.3">
      <c r="A38" s="2" t="s">
        <v>91</v>
      </c>
      <c r="B38" s="3">
        <v>45453</v>
      </c>
      <c r="C38" s="2" t="s">
        <v>38</v>
      </c>
      <c r="D38" s="2" t="s">
        <v>52</v>
      </c>
      <c r="E38" s="2" t="s">
        <v>40</v>
      </c>
      <c r="F38" s="2" t="s">
        <v>41</v>
      </c>
      <c r="G38" s="2">
        <v>105</v>
      </c>
      <c r="H38" s="2">
        <v>44170</v>
      </c>
      <c r="I38" s="4">
        <f t="shared" si="0"/>
        <v>4637850</v>
      </c>
      <c r="J38" s="2" t="s">
        <v>36</v>
      </c>
      <c r="K38" s="2" t="s">
        <v>19</v>
      </c>
      <c r="L38" s="2" t="s">
        <v>20</v>
      </c>
      <c r="M38" s="5">
        <v>1.24E-2</v>
      </c>
      <c r="N38" s="4">
        <f t="shared" si="1"/>
        <v>57509.34</v>
      </c>
    </row>
    <row r="39" spans="1:14" x14ac:dyDescent="0.3">
      <c r="A39" s="6" t="s">
        <v>92</v>
      </c>
      <c r="B39" s="7">
        <v>45470</v>
      </c>
      <c r="C39" s="6" t="s">
        <v>22</v>
      </c>
      <c r="D39" s="6" t="s">
        <v>16</v>
      </c>
      <c r="E39" s="6" t="s">
        <v>47</v>
      </c>
      <c r="F39" s="6" t="s">
        <v>41</v>
      </c>
      <c r="G39" s="6">
        <v>132</v>
      </c>
      <c r="H39" s="6">
        <v>69610</v>
      </c>
      <c r="I39" s="8">
        <f t="shared" si="0"/>
        <v>9188520</v>
      </c>
      <c r="J39" s="6" t="s">
        <v>55</v>
      </c>
      <c r="K39" s="6" t="s">
        <v>19</v>
      </c>
      <c r="L39" s="6" t="s">
        <v>43</v>
      </c>
      <c r="M39" s="9">
        <v>1.9800000000000002E-2</v>
      </c>
      <c r="N39" s="8">
        <f t="shared" si="1"/>
        <v>181932.69600000003</v>
      </c>
    </row>
    <row r="40" spans="1:14" x14ac:dyDescent="0.3">
      <c r="A40" s="2" t="s">
        <v>93</v>
      </c>
      <c r="B40" s="3">
        <v>45471</v>
      </c>
      <c r="C40" s="2" t="s">
        <v>34</v>
      </c>
      <c r="D40" s="2" t="s">
        <v>16</v>
      </c>
      <c r="E40" s="2" t="s">
        <v>47</v>
      </c>
      <c r="F40" s="2" t="s">
        <v>41</v>
      </c>
      <c r="G40" s="2">
        <v>117</v>
      </c>
      <c r="H40" s="2">
        <v>45450</v>
      </c>
      <c r="I40" s="4">
        <f t="shared" si="0"/>
        <v>5317650</v>
      </c>
      <c r="J40" s="2" t="s">
        <v>18</v>
      </c>
      <c r="K40" s="2" t="s">
        <v>25</v>
      </c>
      <c r="L40" s="2" t="s">
        <v>20</v>
      </c>
      <c r="M40" s="5">
        <v>2.29E-2</v>
      </c>
      <c r="N40" s="4">
        <f t="shared" si="1"/>
        <v>121774.185</v>
      </c>
    </row>
    <row r="41" spans="1:14" x14ac:dyDescent="0.3">
      <c r="A41" s="6" t="s">
        <v>94</v>
      </c>
      <c r="B41" s="7">
        <v>45476</v>
      </c>
      <c r="C41" s="6" t="s">
        <v>22</v>
      </c>
      <c r="D41" s="6" t="s">
        <v>46</v>
      </c>
      <c r="E41" s="6" t="s">
        <v>17</v>
      </c>
      <c r="F41" s="6">
        <v>3</v>
      </c>
      <c r="G41" s="6">
        <v>97</v>
      </c>
      <c r="H41" s="6">
        <v>46830</v>
      </c>
      <c r="I41" s="8">
        <f t="shared" si="0"/>
        <v>4542510</v>
      </c>
      <c r="J41" s="6" t="s">
        <v>28</v>
      </c>
      <c r="K41" s="6" t="s">
        <v>19</v>
      </c>
      <c r="L41" s="6" t="s">
        <v>43</v>
      </c>
      <c r="M41" s="9">
        <v>2.0299999999999999E-2</v>
      </c>
      <c r="N41" s="8">
        <f t="shared" si="1"/>
        <v>92212.952999999994</v>
      </c>
    </row>
    <row r="42" spans="1:14" x14ac:dyDescent="0.3">
      <c r="A42" s="2" t="s">
        <v>95</v>
      </c>
      <c r="B42" s="3">
        <v>45479</v>
      </c>
      <c r="C42" s="2" t="s">
        <v>22</v>
      </c>
      <c r="D42" s="2" t="s">
        <v>63</v>
      </c>
      <c r="E42" s="2" t="s">
        <v>24</v>
      </c>
      <c r="F42" s="2">
        <v>4</v>
      </c>
      <c r="G42" s="2">
        <v>469</v>
      </c>
      <c r="H42" s="2">
        <v>46930</v>
      </c>
      <c r="I42" s="4">
        <f t="shared" si="0"/>
        <v>22010170</v>
      </c>
      <c r="J42" s="2" t="s">
        <v>66</v>
      </c>
      <c r="K42" s="2" t="s">
        <v>19</v>
      </c>
      <c r="L42" s="2" t="s">
        <v>43</v>
      </c>
      <c r="M42" s="5">
        <v>2.2499999999999999E-2</v>
      </c>
      <c r="N42" s="4">
        <f t="shared" si="1"/>
        <v>495228.82499999995</v>
      </c>
    </row>
    <row r="43" spans="1:14" x14ac:dyDescent="0.3">
      <c r="A43" s="6" t="s">
        <v>96</v>
      </c>
      <c r="B43" s="7">
        <v>45481</v>
      </c>
      <c r="C43" s="6" t="s">
        <v>70</v>
      </c>
      <c r="D43" s="6" t="s">
        <v>39</v>
      </c>
      <c r="E43" s="6" t="s">
        <v>40</v>
      </c>
      <c r="F43" s="6" t="s">
        <v>41</v>
      </c>
      <c r="G43" s="6">
        <v>128</v>
      </c>
      <c r="H43" s="6">
        <v>46300</v>
      </c>
      <c r="I43" s="8">
        <f t="shared" si="0"/>
        <v>5926400</v>
      </c>
      <c r="J43" s="6" t="s">
        <v>42</v>
      </c>
      <c r="K43" s="6" t="s">
        <v>19</v>
      </c>
      <c r="L43" s="6" t="s">
        <v>43</v>
      </c>
      <c r="M43" s="9">
        <v>2.2499999999999999E-2</v>
      </c>
      <c r="N43" s="8">
        <f t="shared" si="1"/>
        <v>133344</v>
      </c>
    </row>
    <row r="44" spans="1:14" x14ac:dyDescent="0.3">
      <c r="A44" s="2" t="s">
        <v>97</v>
      </c>
      <c r="B44" s="3">
        <v>45482</v>
      </c>
      <c r="C44" s="2" t="s">
        <v>15</v>
      </c>
      <c r="D44" s="2" t="s">
        <v>30</v>
      </c>
      <c r="E44" s="2" t="s">
        <v>50</v>
      </c>
      <c r="F44" s="2">
        <v>3</v>
      </c>
      <c r="G44" s="2">
        <v>144</v>
      </c>
      <c r="H44" s="2">
        <v>26480</v>
      </c>
      <c r="I44" s="4">
        <f t="shared" si="0"/>
        <v>3813120</v>
      </c>
      <c r="J44" s="2" t="s">
        <v>53</v>
      </c>
      <c r="K44" s="2" t="s">
        <v>19</v>
      </c>
      <c r="L44" s="2" t="s">
        <v>43</v>
      </c>
      <c r="M44" s="5">
        <v>1.43E-2</v>
      </c>
      <c r="N44" s="4">
        <f t="shared" si="1"/>
        <v>54527.616000000002</v>
      </c>
    </row>
    <row r="45" spans="1:14" x14ac:dyDescent="0.3">
      <c r="A45" s="6" t="s">
        <v>98</v>
      </c>
      <c r="B45" s="7">
        <v>45483</v>
      </c>
      <c r="C45" s="6" t="s">
        <v>27</v>
      </c>
      <c r="D45" s="6" t="s">
        <v>30</v>
      </c>
      <c r="E45" s="6" t="s">
        <v>31</v>
      </c>
      <c r="F45" s="6">
        <v>4</v>
      </c>
      <c r="G45" s="6">
        <v>210</v>
      </c>
      <c r="H45" s="6">
        <v>39610</v>
      </c>
      <c r="I45" s="8">
        <f t="shared" si="0"/>
        <v>8318100</v>
      </c>
      <c r="J45" s="6" t="s">
        <v>42</v>
      </c>
      <c r="K45" s="6" t="s">
        <v>19</v>
      </c>
      <c r="L45" s="6" t="s">
        <v>43</v>
      </c>
      <c r="M45" s="9">
        <v>1.7100000000000001E-2</v>
      </c>
      <c r="N45" s="8">
        <f t="shared" si="1"/>
        <v>142239.51</v>
      </c>
    </row>
    <row r="46" spans="1:14" x14ac:dyDescent="0.3">
      <c r="A46" s="2" t="s">
        <v>99</v>
      </c>
      <c r="B46" s="3">
        <v>45483</v>
      </c>
      <c r="C46" s="2" t="s">
        <v>15</v>
      </c>
      <c r="D46" s="2" t="s">
        <v>63</v>
      </c>
      <c r="E46" s="2" t="s">
        <v>31</v>
      </c>
      <c r="F46" s="2">
        <v>2</v>
      </c>
      <c r="G46" s="2">
        <v>339</v>
      </c>
      <c r="H46" s="2">
        <v>33470</v>
      </c>
      <c r="I46" s="4">
        <f t="shared" si="0"/>
        <v>11346330</v>
      </c>
      <c r="J46" s="2" t="s">
        <v>53</v>
      </c>
      <c r="K46" s="2" t="s">
        <v>19</v>
      </c>
      <c r="L46" s="2" t="s">
        <v>43</v>
      </c>
      <c r="M46" s="5">
        <v>2.4899999999999999E-2</v>
      </c>
      <c r="N46" s="4">
        <f t="shared" si="1"/>
        <v>282523.61699999997</v>
      </c>
    </row>
    <row r="47" spans="1:14" x14ac:dyDescent="0.3">
      <c r="A47" s="6" t="s">
        <v>100</v>
      </c>
      <c r="B47" s="7">
        <v>45490</v>
      </c>
      <c r="C47" s="6" t="s">
        <v>38</v>
      </c>
      <c r="D47" s="6" t="s">
        <v>101</v>
      </c>
      <c r="E47" s="6" t="s">
        <v>50</v>
      </c>
      <c r="F47" s="6">
        <v>4</v>
      </c>
      <c r="G47" s="6">
        <v>112</v>
      </c>
      <c r="H47" s="6">
        <v>26260</v>
      </c>
      <c r="I47" s="8">
        <f t="shared" si="0"/>
        <v>2941120</v>
      </c>
      <c r="J47" s="6" t="s">
        <v>42</v>
      </c>
      <c r="K47" s="6" t="s">
        <v>19</v>
      </c>
      <c r="L47" s="6" t="s">
        <v>43</v>
      </c>
      <c r="M47" s="9">
        <v>2.23E-2</v>
      </c>
      <c r="N47" s="8">
        <f t="shared" si="1"/>
        <v>65586.975999999995</v>
      </c>
    </row>
    <row r="48" spans="1:14" x14ac:dyDescent="0.3">
      <c r="A48" s="2" t="s">
        <v>102</v>
      </c>
      <c r="B48" s="3">
        <v>45495</v>
      </c>
      <c r="C48" s="2" t="s">
        <v>27</v>
      </c>
      <c r="D48" s="2" t="s">
        <v>101</v>
      </c>
      <c r="E48" s="2" t="s">
        <v>40</v>
      </c>
      <c r="F48" s="2" t="s">
        <v>41</v>
      </c>
      <c r="G48" s="2">
        <v>176</v>
      </c>
      <c r="H48" s="2">
        <v>47100</v>
      </c>
      <c r="I48" s="4">
        <f t="shared" si="0"/>
        <v>8289600</v>
      </c>
      <c r="J48" s="2" t="s">
        <v>53</v>
      </c>
      <c r="K48" s="2" t="s">
        <v>25</v>
      </c>
      <c r="L48" s="2" t="s">
        <v>43</v>
      </c>
      <c r="M48" s="5">
        <v>1.9E-2</v>
      </c>
      <c r="N48" s="4">
        <f t="shared" si="1"/>
        <v>157502.39999999999</v>
      </c>
    </row>
    <row r="49" spans="1:14" x14ac:dyDescent="0.3">
      <c r="A49" s="6" t="s">
        <v>103</v>
      </c>
      <c r="B49" s="7">
        <v>45500</v>
      </c>
      <c r="C49" s="6" t="s">
        <v>22</v>
      </c>
      <c r="D49" s="6" t="s">
        <v>30</v>
      </c>
      <c r="E49" s="6" t="s">
        <v>50</v>
      </c>
      <c r="F49" s="6">
        <v>2</v>
      </c>
      <c r="G49" s="6">
        <v>98</v>
      </c>
      <c r="H49" s="6">
        <v>45750</v>
      </c>
      <c r="I49" s="8">
        <f t="shared" si="0"/>
        <v>4483500</v>
      </c>
      <c r="J49" s="6" t="s">
        <v>66</v>
      </c>
      <c r="K49" s="6" t="s">
        <v>19</v>
      </c>
      <c r="L49" s="6" t="s">
        <v>43</v>
      </c>
      <c r="M49" s="9">
        <v>1.0699999999999999E-2</v>
      </c>
      <c r="N49" s="8">
        <f t="shared" si="1"/>
        <v>47973.45</v>
      </c>
    </row>
    <row r="50" spans="1:14" x14ac:dyDescent="0.3">
      <c r="A50" s="2" t="s">
        <v>104</v>
      </c>
      <c r="B50" s="3">
        <v>45501</v>
      </c>
      <c r="C50" s="2" t="s">
        <v>38</v>
      </c>
      <c r="D50" s="2" t="s">
        <v>39</v>
      </c>
      <c r="E50" s="2" t="s">
        <v>31</v>
      </c>
      <c r="F50" s="2">
        <v>3</v>
      </c>
      <c r="G50" s="2">
        <v>259</v>
      </c>
      <c r="H50" s="2">
        <v>33000</v>
      </c>
      <c r="I50" s="4">
        <f t="shared" si="0"/>
        <v>8547000</v>
      </c>
      <c r="J50" s="2" t="s">
        <v>28</v>
      </c>
      <c r="K50" s="2" t="s">
        <v>19</v>
      </c>
      <c r="L50" s="2" t="s">
        <v>43</v>
      </c>
      <c r="M50" s="5">
        <v>1.11E-2</v>
      </c>
      <c r="N50" s="4">
        <f t="shared" si="1"/>
        <v>94871.7</v>
      </c>
    </row>
    <row r="51" spans="1:14" x14ac:dyDescent="0.3">
      <c r="A51" s="6" t="s">
        <v>105</v>
      </c>
      <c r="B51" s="7">
        <v>45503</v>
      </c>
      <c r="C51" s="6" t="s">
        <v>45</v>
      </c>
      <c r="D51" s="6" t="s">
        <v>16</v>
      </c>
      <c r="E51" s="6" t="s">
        <v>47</v>
      </c>
      <c r="F51" s="6" t="s">
        <v>41</v>
      </c>
      <c r="G51" s="6">
        <v>144</v>
      </c>
      <c r="H51" s="6">
        <v>48830</v>
      </c>
      <c r="I51" s="8">
        <f t="shared" si="0"/>
        <v>7031520</v>
      </c>
      <c r="J51" s="6" t="s">
        <v>36</v>
      </c>
      <c r="K51" s="6" t="s">
        <v>19</v>
      </c>
      <c r="L51" s="6" t="s">
        <v>20</v>
      </c>
      <c r="M51" s="9">
        <v>1.5299999999999999E-2</v>
      </c>
      <c r="N51" s="8">
        <f t="shared" si="1"/>
        <v>107582.25599999999</v>
      </c>
    </row>
    <row r="52" spans="1:14" x14ac:dyDescent="0.3">
      <c r="A52" s="2" t="s">
        <v>106</v>
      </c>
      <c r="B52" s="3">
        <v>45514</v>
      </c>
      <c r="C52" s="2" t="s">
        <v>57</v>
      </c>
      <c r="D52" s="2" t="s">
        <v>101</v>
      </c>
      <c r="E52" s="2" t="s">
        <v>40</v>
      </c>
      <c r="F52" s="2" t="s">
        <v>41</v>
      </c>
      <c r="G52" s="2">
        <v>136</v>
      </c>
      <c r="H52" s="2">
        <v>50570</v>
      </c>
      <c r="I52" s="4">
        <f t="shared" si="0"/>
        <v>6877520</v>
      </c>
      <c r="J52" s="2" t="s">
        <v>61</v>
      </c>
      <c r="K52" s="2" t="s">
        <v>19</v>
      </c>
      <c r="L52" s="2" t="s">
        <v>43</v>
      </c>
      <c r="M52" s="5">
        <v>2.3800000000000002E-2</v>
      </c>
      <c r="N52" s="4">
        <f t="shared" si="1"/>
        <v>163684.97600000002</v>
      </c>
    </row>
    <row r="53" spans="1:14" x14ac:dyDescent="0.3">
      <c r="A53" s="6" t="s">
        <v>107</v>
      </c>
      <c r="B53" s="7">
        <v>45525</v>
      </c>
      <c r="C53" s="6" t="s">
        <v>45</v>
      </c>
      <c r="D53" s="6" t="s">
        <v>46</v>
      </c>
      <c r="E53" s="6" t="s">
        <v>50</v>
      </c>
      <c r="F53" s="6">
        <v>3</v>
      </c>
      <c r="G53" s="6">
        <v>108</v>
      </c>
      <c r="H53" s="6">
        <v>33090</v>
      </c>
      <c r="I53" s="8">
        <f t="shared" si="0"/>
        <v>3573720</v>
      </c>
      <c r="J53" s="6" t="s">
        <v>32</v>
      </c>
      <c r="K53" s="6" t="s">
        <v>19</v>
      </c>
      <c r="L53" s="6" t="s">
        <v>20</v>
      </c>
      <c r="M53" s="9">
        <v>2.4299999999999999E-2</v>
      </c>
      <c r="N53" s="8">
        <f t="shared" si="1"/>
        <v>86841.395999999993</v>
      </c>
    </row>
    <row r="54" spans="1:14" x14ac:dyDescent="0.3">
      <c r="A54" s="2" t="s">
        <v>108</v>
      </c>
      <c r="B54" s="3">
        <v>45529</v>
      </c>
      <c r="C54" s="2" t="s">
        <v>22</v>
      </c>
      <c r="D54" s="2" t="s">
        <v>52</v>
      </c>
      <c r="E54" s="2" t="s">
        <v>40</v>
      </c>
      <c r="F54" s="2" t="s">
        <v>41</v>
      </c>
      <c r="G54" s="2">
        <v>180</v>
      </c>
      <c r="H54" s="2">
        <v>55670</v>
      </c>
      <c r="I54" s="4">
        <f t="shared" si="0"/>
        <v>10020600</v>
      </c>
      <c r="J54" s="2" t="s">
        <v>55</v>
      </c>
      <c r="K54" s="2" t="s">
        <v>67</v>
      </c>
      <c r="L54" s="2" t="s">
        <v>43</v>
      </c>
      <c r="M54" s="5">
        <v>1.9400000000000001E-2</v>
      </c>
      <c r="N54" s="4">
        <f t="shared" si="1"/>
        <v>194399.64</v>
      </c>
    </row>
    <row r="55" spans="1:14" x14ac:dyDescent="0.3">
      <c r="A55" s="6" t="s">
        <v>109</v>
      </c>
      <c r="B55" s="7">
        <v>45533</v>
      </c>
      <c r="C55" s="6" t="s">
        <v>38</v>
      </c>
      <c r="D55" s="6" t="s">
        <v>35</v>
      </c>
      <c r="E55" s="6" t="s">
        <v>40</v>
      </c>
      <c r="F55" s="6" t="s">
        <v>41</v>
      </c>
      <c r="G55" s="6">
        <v>111</v>
      </c>
      <c r="H55" s="6">
        <v>43830</v>
      </c>
      <c r="I55" s="8">
        <f t="shared" si="0"/>
        <v>4865130</v>
      </c>
      <c r="J55" s="6" t="s">
        <v>18</v>
      </c>
      <c r="K55" s="6" t="s">
        <v>19</v>
      </c>
      <c r="L55" s="6" t="s">
        <v>43</v>
      </c>
      <c r="M55" s="9">
        <v>1.2800000000000001E-2</v>
      </c>
      <c r="N55" s="8">
        <f t="shared" si="1"/>
        <v>62273.664000000004</v>
      </c>
    </row>
    <row r="56" spans="1:14" x14ac:dyDescent="0.3">
      <c r="A56" s="2" t="s">
        <v>110</v>
      </c>
      <c r="B56" s="3">
        <v>45533</v>
      </c>
      <c r="C56" s="2" t="s">
        <v>27</v>
      </c>
      <c r="D56" s="2" t="s">
        <v>23</v>
      </c>
      <c r="E56" s="2" t="s">
        <v>31</v>
      </c>
      <c r="F56" s="2">
        <v>5</v>
      </c>
      <c r="G56" s="2">
        <v>230</v>
      </c>
      <c r="H56" s="2">
        <v>40270</v>
      </c>
      <c r="I56" s="4">
        <f t="shared" si="0"/>
        <v>9262100</v>
      </c>
      <c r="J56" s="2" t="s">
        <v>66</v>
      </c>
      <c r="K56" s="2" t="s">
        <v>19</v>
      </c>
      <c r="L56" s="2" t="s">
        <v>43</v>
      </c>
      <c r="M56" s="5">
        <v>1.7399999999999999E-2</v>
      </c>
      <c r="N56" s="4">
        <f t="shared" si="1"/>
        <v>161160.53999999998</v>
      </c>
    </row>
    <row r="57" spans="1:14" x14ac:dyDescent="0.3">
      <c r="A57" s="6" t="s">
        <v>111</v>
      </c>
      <c r="B57" s="7">
        <v>45535</v>
      </c>
      <c r="C57" s="6" t="s">
        <v>38</v>
      </c>
      <c r="D57" s="6" t="s">
        <v>49</v>
      </c>
      <c r="E57" s="6" t="s">
        <v>24</v>
      </c>
      <c r="F57" s="6">
        <v>4</v>
      </c>
      <c r="G57" s="6">
        <v>316</v>
      </c>
      <c r="H57" s="6">
        <v>31180</v>
      </c>
      <c r="I57" s="8">
        <f t="shared" si="0"/>
        <v>9852880</v>
      </c>
      <c r="J57" s="6" t="s">
        <v>42</v>
      </c>
      <c r="K57" s="6" t="s">
        <v>19</v>
      </c>
      <c r="L57" s="6" t="s">
        <v>20</v>
      </c>
      <c r="M57" s="9">
        <v>1.67E-2</v>
      </c>
      <c r="N57" s="8">
        <f t="shared" si="1"/>
        <v>164543.09599999999</v>
      </c>
    </row>
    <row r="58" spans="1:14" x14ac:dyDescent="0.3">
      <c r="A58" s="2" t="s">
        <v>112</v>
      </c>
      <c r="B58" s="3">
        <v>45535</v>
      </c>
      <c r="C58" s="2" t="s">
        <v>15</v>
      </c>
      <c r="D58" s="2" t="s">
        <v>101</v>
      </c>
      <c r="E58" s="2" t="s">
        <v>31</v>
      </c>
      <c r="F58" s="2">
        <v>3</v>
      </c>
      <c r="G58" s="2">
        <v>313</v>
      </c>
      <c r="H58" s="2">
        <v>35390</v>
      </c>
      <c r="I58" s="4">
        <f t="shared" si="0"/>
        <v>11077070</v>
      </c>
      <c r="J58" s="2" t="s">
        <v>42</v>
      </c>
      <c r="K58" s="2" t="s">
        <v>19</v>
      </c>
      <c r="L58" s="2" t="s">
        <v>43</v>
      </c>
      <c r="M58" s="5">
        <v>2.18E-2</v>
      </c>
      <c r="N58" s="4">
        <f t="shared" si="1"/>
        <v>241480.12599999999</v>
      </c>
    </row>
    <row r="59" spans="1:14" x14ac:dyDescent="0.3">
      <c r="A59" s="6" t="s">
        <v>113</v>
      </c>
      <c r="B59" s="7">
        <v>45535</v>
      </c>
      <c r="C59" s="6" t="s">
        <v>22</v>
      </c>
      <c r="D59" s="6" t="s">
        <v>35</v>
      </c>
      <c r="E59" s="6" t="s">
        <v>17</v>
      </c>
      <c r="F59" s="6">
        <v>4</v>
      </c>
      <c r="G59" s="6">
        <v>111</v>
      </c>
      <c r="H59" s="6">
        <v>46620</v>
      </c>
      <c r="I59" s="8">
        <f t="shared" si="0"/>
        <v>5174820</v>
      </c>
      <c r="J59" s="6" t="s">
        <v>28</v>
      </c>
      <c r="K59" s="6" t="s">
        <v>19</v>
      </c>
      <c r="L59" s="6" t="s">
        <v>43</v>
      </c>
      <c r="M59" s="9">
        <v>1.7500000000000002E-2</v>
      </c>
      <c r="N59" s="8">
        <f t="shared" si="1"/>
        <v>90559.35</v>
      </c>
    </row>
    <row r="60" spans="1:14" x14ac:dyDescent="0.3">
      <c r="A60" s="2" t="s">
        <v>114</v>
      </c>
      <c r="B60" s="3">
        <v>45538</v>
      </c>
      <c r="C60" s="2" t="s">
        <v>15</v>
      </c>
      <c r="D60" s="2" t="s">
        <v>101</v>
      </c>
      <c r="E60" s="2" t="s">
        <v>24</v>
      </c>
      <c r="F60" s="2">
        <v>4</v>
      </c>
      <c r="G60" s="2">
        <v>308</v>
      </c>
      <c r="H60" s="2">
        <v>36620</v>
      </c>
      <c r="I60" s="4">
        <f t="shared" si="0"/>
        <v>11278960</v>
      </c>
      <c r="J60" s="2" t="s">
        <v>58</v>
      </c>
      <c r="K60" s="2" t="s">
        <v>19</v>
      </c>
      <c r="L60" s="2" t="s">
        <v>43</v>
      </c>
      <c r="M60" s="5">
        <v>1.7000000000000001E-2</v>
      </c>
      <c r="N60" s="4">
        <f t="shared" si="1"/>
        <v>191742.32</v>
      </c>
    </row>
    <row r="61" spans="1:14" x14ac:dyDescent="0.3">
      <c r="A61" s="6" t="s">
        <v>115</v>
      </c>
      <c r="B61" s="7">
        <v>45541</v>
      </c>
      <c r="C61" s="6" t="s">
        <v>15</v>
      </c>
      <c r="D61" s="6" t="s">
        <v>101</v>
      </c>
      <c r="E61" s="6" t="s">
        <v>47</v>
      </c>
      <c r="F61" s="6" t="s">
        <v>41</v>
      </c>
      <c r="G61" s="6">
        <v>114</v>
      </c>
      <c r="H61" s="6">
        <v>48210</v>
      </c>
      <c r="I61" s="8">
        <f t="shared" si="0"/>
        <v>5495940</v>
      </c>
      <c r="J61" s="6" t="s">
        <v>28</v>
      </c>
      <c r="K61" s="6" t="s">
        <v>25</v>
      </c>
      <c r="L61" s="6" t="s">
        <v>20</v>
      </c>
      <c r="M61" s="9">
        <v>1.32E-2</v>
      </c>
      <c r="N61" s="8">
        <f t="shared" si="1"/>
        <v>72546.407999999996</v>
      </c>
    </row>
    <row r="62" spans="1:14" x14ac:dyDescent="0.3">
      <c r="A62" s="2" t="s">
        <v>116</v>
      </c>
      <c r="B62" s="3">
        <v>45541</v>
      </c>
      <c r="C62" s="2" t="s">
        <v>45</v>
      </c>
      <c r="D62" s="2" t="s">
        <v>101</v>
      </c>
      <c r="E62" s="2" t="s">
        <v>50</v>
      </c>
      <c r="F62" s="2">
        <v>3</v>
      </c>
      <c r="G62" s="2">
        <v>117</v>
      </c>
      <c r="H62" s="2">
        <v>30800</v>
      </c>
      <c r="I62" s="4">
        <f t="shared" si="0"/>
        <v>3603600</v>
      </c>
      <c r="J62" s="2" t="s">
        <v>53</v>
      </c>
      <c r="K62" s="2" t="s">
        <v>19</v>
      </c>
      <c r="L62" s="2" t="s">
        <v>43</v>
      </c>
      <c r="M62" s="5">
        <v>1.2500000000000001E-2</v>
      </c>
      <c r="N62" s="4">
        <f t="shared" si="1"/>
        <v>45045</v>
      </c>
    </row>
    <row r="63" spans="1:14" x14ac:dyDescent="0.3">
      <c r="A63" s="6" t="s">
        <v>117</v>
      </c>
      <c r="B63" s="7">
        <v>45545</v>
      </c>
      <c r="C63" s="6" t="s">
        <v>34</v>
      </c>
      <c r="D63" s="6" t="s">
        <v>35</v>
      </c>
      <c r="E63" s="6" t="s">
        <v>17</v>
      </c>
      <c r="F63" s="6">
        <v>4</v>
      </c>
      <c r="G63" s="6">
        <v>116</v>
      </c>
      <c r="H63" s="6">
        <v>27570</v>
      </c>
      <c r="I63" s="8">
        <f t="shared" si="0"/>
        <v>3198120</v>
      </c>
      <c r="J63" s="6" t="s">
        <v>32</v>
      </c>
      <c r="K63" s="6" t="s">
        <v>19</v>
      </c>
      <c r="L63" s="6" t="s">
        <v>43</v>
      </c>
      <c r="M63" s="9">
        <v>1.24E-2</v>
      </c>
      <c r="N63" s="8">
        <f t="shared" si="1"/>
        <v>39656.688000000002</v>
      </c>
    </row>
    <row r="64" spans="1:14" x14ac:dyDescent="0.3">
      <c r="A64" s="2" t="s">
        <v>118</v>
      </c>
      <c r="B64" s="3">
        <v>45546</v>
      </c>
      <c r="C64" s="2" t="s">
        <v>22</v>
      </c>
      <c r="D64" s="2" t="s">
        <v>23</v>
      </c>
      <c r="E64" s="2" t="s">
        <v>40</v>
      </c>
      <c r="F64" s="2" t="s">
        <v>41</v>
      </c>
      <c r="G64" s="2">
        <v>75</v>
      </c>
      <c r="H64" s="2">
        <v>66390</v>
      </c>
      <c r="I64" s="4">
        <f t="shared" si="0"/>
        <v>4979250</v>
      </c>
      <c r="J64" s="2" t="s">
        <v>28</v>
      </c>
      <c r="K64" s="2" t="s">
        <v>19</v>
      </c>
      <c r="L64" s="2" t="s">
        <v>43</v>
      </c>
      <c r="M64" s="5">
        <v>1.6899999999999998E-2</v>
      </c>
      <c r="N64" s="4">
        <f t="shared" si="1"/>
        <v>84149.324999999997</v>
      </c>
    </row>
    <row r="65" spans="1:14" x14ac:dyDescent="0.3">
      <c r="A65" s="6" t="s">
        <v>119</v>
      </c>
      <c r="B65" s="7">
        <v>45556</v>
      </c>
      <c r="C65" s="6" t="s">
        <v>38</v>
      </c>
      <c r="D65" s="6" t="s">
        <v>52</v>
      </c>
      <c r="E65" s="6" t="s">
        <v>47</v>
      </c>
      <c r="F65" s="6" t="s">
        <v>41</v>
      </c>
      <c r="G65" s="6">
        <v>117</v>
      </c>
      <c r="H65" s="6">
        <v>45400</v>
      </c>
      <c r="I65" s="8">
        <f t="shared" si="0"/>
        <v>5311800</v>
      </c>
      <c r="J65" s="6" t="s">
        <v>61</v>
      </c>
      <c r="K65" s="6" t="s">
        <v>19</v>
      </c>
      <c r="L65" s="6" t="s">
        <v>20</v>
      </c>
      <c r="M65" s="9">
        <v>1.3599999999999999E-2</v>
      </c>
      <c r="N65" s="8">
        <f t="shared" si="1"/>
        <v>72240.479999999996</v>
      </c>
    </row>
    <row r="66" spans="1:14" x14ac:dyDescent="0.3">
      <c r="A66" s="2" t="s">
        <v>120</v>
      </c>
      <c r="B66" s="3">
        <v>45561</v>
      </c>
      <c r="C66" s="2" t="s">
        <v>34</v>
      </c>
      <c r="D66" s="2" t="s">
        <v>30</v>
      </c>
      <c r="E66" s="2" t="s">
        <v>17</v>
      </c>
      <c r="F66" s="2">
        <v>5</v>
      </c>
      <c r="G66" s="2">
        <v>168</v>
      </c>
      <c r="H66" s="2">
        <v>27040</v>
      </c>
      <c r="I66" s="4">
        <f t="shared" ref="I66:I129" si="2">G66*H66</f>
        <v>4542720</v>
      </c>
      <c r="J66" s="2" t="s">
        <v>42</v>
      </c>
      <c r="K66" s="2" t="s">
        <v>19</v>
      </c>
      <c r="L66" s="2" t="s">
        <v>20</v>
      </c>
      <c r="M66" s="5">
        <v>2.1399999999999999E-2</v>
      </c>
      <c r="N66" s="4">
        <f t="shared" ref="N66:N129" si="3">I66*M66</f>
        <v>97214.207999999999</v>
      </c>
    </row>
    <row r="67" spans="1:14" x14ac:dyDescent="0.3">
      <c r="A67" s="6" t="s">
        <v>121</v>
      </c>
      <c r="B67" s="7">
        <v>45562</v>
      </c>
      <c r="C67" s="6" t="s">
        <v>27</v>
      </c>
      <c r="D67" s="6" t="s">
        <v>23</v>
      </c>
      <c r="E67" s="6" t="s">
        <v>24</v>
      </c>
      <c r="F67" s="6">
        <v>2</v>
      </c>
      <c r="G67" s="6">
        <v>293</v>
      </c>
      <c r="H67" s="6">
        <v>38130</v>
      </c>
      <c r="I67" s="8">
        <f t="shared" si="2"/>
        <v>11172090</v>
      </c>
      <c r="J67" s="6" t="s">
        <v>32</v>
      </c>
      <c r="K67" s="6" t="s">
        <v>19</v>
      </c>
      <c r="L67" s="6" t="s">
        <v>43</v>
      </c>
      <c r="M67" s="9">
        <v>1.44E-2</v>
      </c>
      <c r="N67" s="8">
        <f t="shared" si="3"/>
        <v>160878.09599999999</v>
      </c>
    </row>
    <row r="68" spans="1:14" x14ac:dyDescent="0.3">
      <c r="A68" s="2" t="s">
        <v>122</v>
      </c>
      <c r="B68" s="3">
        <v>45568</v>
      </c>
      <c r="C68" s="2" t="s">
        <v>15</v>
      </c>
      <c r="D68" s="2" t="s">
        <v>63</v>
      </c>
      <c r="E68" s="2" t="s">
        <v>50</v>
      </c>
      <c r="F68" s="2">
        <v>3</v>
      </c>
      <c r="G68" s="2">
        <v>138</v>
      </c>
      <c r="H68" s="2">
        <v>29470</v>
      </c>
      <c r="I68" s="4">
        <f t="shared" si="2"/>
        <v>4066860</v>
      </c>
      <c r="J68" s="2" t="s">
        <v>55</v>
      </c>
      <c r="K68" s="2" t="s">
        <v>25</v>
      </c>
      <c r="L68" s="2" t="s">
        <v>20</v>
      </c>
      <c r="M68" s="5">
        <v>2.3199999999999998E-2</v>
      </c>
      <c r="N68" s="4">
        <f t="shared" si="3"/>
        <v>94351.151999999987</v>
      </c>
    </row>
    <row r="69" spans="1:14" x14ac:dyDescent="0.3">
      <c r="A69" s="6" t="s">
        <v>123</v>
      </c>
      <c r="B69" s="7">
        <v>45585</v>
      </c>
      <c r="C69" s="6" t="s">
        <v>70</v>
      </c>
      <c r="D69" s="6" t="s">
        <v>101</v>
      </c>
      <c r="E69" s="6" t="s">
        <v>31</v>
      </c>
      <c r="F69" s="6">
        <v>3</v>
      </c>
      <c r="G69" s="6">
        <v>233</v>
      </c>
      <c r="H69" s="6">
        <v>32490</v>
      </c>
      <c r="I69" s="8">
        <f t="shared" si="2"/>
        <v>7570170</v>
      </c>
      <c r="J69" s="6" t="s">
        <v>18</v>
      </c>
      <c r="K69" s="6" t="s">
        <v>25</v>
      </c>
      <c r="L69" s="6" t="s">
        <v>43</v>
      </c>
      <c r="M69" s="9">
        <v>2.0199999999999999E-2</v>
      </c>
      <c r="N69" s="8">
        <f t="shared" si="3"/>
        <v>152917.43400000001</v>
      </c>
    </row>
    <row r="70" spans="1:14" x14ac:dyDescent="0.3">
      <c r="A70" s="2" t="s">
        <v>124</v>
      </c>
      <c r="B70" s="3">
        <v>45585</v>
      </c>
      <c r="C70" s="2" t="s">
        <v>27</v>
      </c>
      <c r="D70" s="2" t="s">
        <v>35</v>
      </c>
      <c r="E70" s="2" t="s">
        <v>47</v>
      </c>
      <c r="F70" s="2" t="s">
        <v>41</v>
      </c>
      <c r="G70" s="2">
        <v>105</v>
      </c>
      <c r="H70" s="2">
        <v>57600</v>
      </c>
      <c r="I70" s="4">
        <f t="shared" si="2"/>
        <v>6048000</v>
      </c>
      <c r="J70" s="2" t="s">
        <v>36</v>
      </c>
      <c r="K70" s="2" t="s">
        <v>19</v>
      </c>
      <c r="L70" s="2" t="s">
        <v>43</v>
      </c>
      <c r="M70" s="5">
        <v>2.3400000000000001E-2</v>
      </c>
      <c r="N70" s="4">
        <f t="shared" si="3"/>
        <v>141523.20000000001</v>
      </c>
    </row>
    <row r="71" spans="1:14" x14ac:dyDescent="0.3">
      <c r="A71" s="6" t="s">
        <v>125</v>
      </c>
      <c r="B71" s="7">
        <v>45586</v>
      </c>
      <c r="C71" s="6" t="s">
        <v>34</v>
      </c>
      <c r="D71" s="6" t="s">
        <v>35</v>
      </c>
      <c r="E71" s="6" t="s">
        <v>50</v>
      </c>
      <c r="F71" s="6">
        <v>3</v>
      </c>
      <c r="G71" s="6">
        <v>146</v>
      </c>
      <c r="H71" s="6">
        <v>29050</v>
      </c>
      <c r="I71" s="8">
        <f t="shared" si="2"/>
        <v>4241300</v>
      </c>
      <c r="J71" s="6" t="s">
        <v>18</v>
      </c>
      <c r="K71" s="6" t="s">
        <v>67</v>
      </c>
      <c r="L71" s="6" t="s">
        <v>43</v>
      </c>
      <c r="M71" s="9">
        <v>1.6899999999999998E-2</v>
      </c>
      <c r="N71" s="8">
        <f t="shared" si="3"/>
        <v>71677.969999999987</v>
      </c>
    </row>
    <row r="72" spans="1:14" x14ac:dyDescent="0.3">
      <c r="A72" s="2" t="s">
        <v>126</v>
      </c>
      <c r="B72" s="3">
        <v>45587</v>
      </c>
      <c r="C72" s="2" t="s">
        <v>45</v>
      </c>
      <c r="D72" s="2" t="s">
        <v>30</v>
      </c>
      <c r="E72" s="2" t="s">
        <v>17</v>
      </c>
      <c r="F72" s="2">
        <v>3</v>
      </c>
      <c r="G72" s="2">
        <v>131</v>
      </c>
      <c r="H72" s="2">
        <v>32560</v>
      </c>
      <c r="I72" s="4">
        <f t="shared" si="2"/>
        <v>4265360</v>
      </c>
      <c r="J72" s="2" t="s">
        <v>66</v>
      </c>
      <c r="K72" s="2" t="s">
        <v>67</v>
      </c>
      <c r="L72" s="2" t="s">
        <v>43</v>
      </c>
      <c r="M72" s="5">
        <v>1.77E-2</v>
      </c>
      <c r="N72" s="4">
        <f t="shared" si="3"/>
        <v>75496.872000000003</v>
      </c>
    </row>
    <row r="73" spans="1:14" x14ac:dyDescent="0.3">
      <c r="A73" s="6" t="s">
        <v>127</v>
      </c>
      <c r="B73" s="7">
        <v>45588</v>
      </c>
      <c r="C73" s="6" t="s">
        <v>27</v>
      </c>
      <c r="D73" s="6" t="s">
        <v>39</v>
      </c>
      <c r="E73" s="6" t="s">
        <v>17</v>
      </c>
      <c r="F73" s="6">
        <v>3</v>
      </c>
      <c r="G73" s="6">
        <v>124</v>
      </c>
      <c r="H73" s="6">
        <v>36390</v>
      </c>
      <c r="I73" s="8">
        <f t="shared" si="2"/>
        <v>4512360</v>
      </c>
      <c r="J73" s="6" t="s">
        <v>64</v>
      </c>
      <c r="K73" s="6" t="s">
        <v>19</v>
      </c>
      <c r="L73" s="6" t="s">
        <v>20</v>
      </c>
      <c r="M73" s="9">
        <v>1.4E-2</v>
      </c>
      <c r="N73" s="8">
        <f t="shared" si="3"/>
        <v>63173.04</v>
      </c>
    </row>
    <row r="74" spans="1:14" x14ac:dyDescent="0.3">
      <c r="A74" s="2" t="s">
        <v>128</v>
      </c>
      <c r="B74" s="3">
        <v>45590</v>
      </c>
      <c r="C74" s="2" t="s">
        <v>22</v>
      </c>
      <c r="D74" s="2" t="s">
        <v>16</v>
      </c>
      <c r="E74" s="2" t="s">
        <v>50</v>
      </c>
      <c r="F74" s="2">
        <v>4</v>
      </c>
      <c r="G74" s="2">
        <v>149</v>
      </c>
      <c r="H74" s="2">
        <v>39670</v>
      </c>
      <c r="I74" s="4">
        <f t="shared" si="2"/>
        <v>5910830</v>
      </c>
      <c r="J74" s="2" t="s">
        <v>64</v>
      </c>
      <c r="K74" s="2" t="s">
        <v>19</v>
      </c>
      <c r="L74" s="2" t="s">
        <v>43</v>
      </c>
      <c r="M74" s="5">
        <v>1.7600000000000001E-2</v>
      </c>
      <c r="N74" s="4">
        <f t="shared" si="3"/>
        <v>104030.60800000001</v>
      </c>
    </row>
    <row r="75" spans="1:14" x14ac:dyDescent="0.3">
      <c r="A75" s="6" t="s">
        <v>129</v>
      </c>
      <c r="B75" s="7">
        <v>45594</v>
      </c>
      <c r="C75" s="6" t="s">
        <v>27</v>
      </c>
      <c r="D75" s="6" t="s">
        <v>30</v>
      </c>
      <c r="E75" s="6" t="s">
        <v>47</v>
      </c>
      <c r="F75" s="6" t="s">
        <v>41</v>
      </c>
      <c r="G75" s="6">
        <v>132</v>
      </c>
      <c r="H75" s="6">
        <v>64020</v>
      </c>
      <c r="I75" s="8">
        <f t="shared" si="2"/>
        <v>8450640</v>
      </c>
      <c r="J75" s="6" t="s">
        <v>61</v>
      </c>
      <c r="K75" s="6" t="s">
        <v>19</v>
      </c>
      <c r="L75" s="6" t="s">
        <v>43</v>
      </c>
      <c r="M75" s="9">
        <v>1.9300000000000001E-2</v>
      </c>
      <c r="N75" s="8">
        <f t="shared" si="3"/>
        <v>163097.35200000001</v>
      </c>
    </row>
    <row r="76" spans="1:14" x14ac:dyDescent="0.3">
      <c r="A76" s="2" t="s">
        <v>130</v>
      </c>
      <c r="B76" s="3">
        <v>45595</v>
      </c>
      <c r="C76" s="2" t="s">
        <v>70</v>
      </c>
      <c r="D76" s="2" t="s">
        <v>46</v>
      </c>
      <c r="E76" s="2" t="s">
        <v>24</v>
      </c>
      <c r="F76" s="2">
        <v>3</v>
      </c>
      <c r="G76" s="2">
        <v>326</v>
      </c>
      <c r="H76" s="2">
        <v>38850</v>
      </c>
      <c r="I76" s="4">
        <f t="shared" si="2"/>
        <v>12665100</v>
      </c>
      <c r="J76" s="2" t="s">
        <v>58</v>
      </c>
      <c r="K76" s="2" t="s">
        <v>19</v>
      </c>
      <c r="L76" s="2" t="s">
        <v>20</v>
      </c>
      <c r="M76" s="5">
        <v>1.44E-2</v>
      </c>
      <c r="N76" s="4">
        <f t="shared" si="3"/>
        <v>182377.44</v>
      </c>
    </row>
    <row r="77" spans="1:14" x14ac:dyDescent="0.3">
      <c r="A77" s="6" t="s">
        <v>131</v>
      </c>
      <c r="B77" s="7">
        <v>45599</v>
      </c>
      <c r="C77" s="6" t="s">
        <v>22</v>
      </c>
      <c r="D77" s="6" t="s">
        <v>16</v>
      </c>
      <c r="E77" s="6" t="s">
        <v>31</v>
      </c>
      <c r="F77" s="6">
        <v>3</v>
      </c>
      <c r="G77" s="6">
        <v>260</v>
      </c>
      <c r="H77" s="6">
        <v>46320</v>
      </c>
      <c r="I77" s="8">
        <f t="shared" si="2"/>
        <v>12043200</v>
      </c>
      <c r="J77" s="6" t="s">
        <v>55</v>
      </c>
      <c r="K77" s="6" t="s">
        <v>19</v>
      </c>
      <c r="L77" s="6" t="s">
        <v>43</v>
      </c>
      <c r="M77" s="9">
        <v>2.0199999999999999E-2</v>
      </c>
      <c r="N77" s="8">
        <f t="shared" si="3"/>
        <v>243272.63999999998</v>
      </c>
    </row>
    <row r="78" spans="1:14" x14ac:dyDescent="0.3">
      <c r="A78" s="2" t="s">
        <v>132</v>
      </c>
      <c r="B78" s="3">
        <v>45601</v>
      </c>
      <c r="C78" s="2" t="s">
        <v>70</v>
      </c>
      <c r="D78" s="2" t="s">
        <v>16</v>
      </c>
      <c r="E78" s="2" t="s">
        <v>50</v>
      </c>
      <c r="F78" s="2">
        <v>3</v>
      </c>
      <c r="G78" s="2">
        <v>87</v>
      </c>
      <c r="H78" s="2">
        <v>29420</v>
      </c>
      <c r="I78" s="4">
        <f t="shared" si="2"/>
        <v>2559540</v>
      </c>
      <c r="J78" s="2" t="s">
        <v>36</v>
      </c>
      <c r="K78" s="2" t="s">
        <v>19</v>
      </c>
      <c r="L78" s="2" t="s">
        <v>43</v>
      </c>
      <c r="M78" s="5">
        <v>1.03E-2</v>
      </c>
      <c r="N78" s="4">
        <f t="shared" si="3"/>
        <v>26363.261999999999</v>
      </c>
    </row>
    <row r="79" spans="1:14" x14ac:dyDescent="0.3">
      <c r="A79" s="6" t="s">
        <v>133</v>
      </c>
      <c r="B79" s="7">
        <v>45604</v>
      </c>
      <c r="C79" s="6" t="s">
        <v>70</v>
      </c>
      <c r="D79" s="6" t="s">
        <v>39</v>
      </c>
      <c r="E79" s="6" t="s">
        <v>17</v>
      </c>
      <c r="F79" s="6">
        <v>3</v>
      </c>
      <c r="G79" s="6">
        <v>149</v>
      </c>
      <c r="H79" s="6">
        <v>31800</v>
      </c>
      <c r="I79" s="8">
        <f t="shared" si="2"/>
        <v>4738200</v>
      </c>
      <c r="J79" s="6" t="s">
        <v>66</v>
      </c>
      <c r="K79" s="6" t="s">
        <v>67</v>
      </c>
      <c r="L79" s="6" t="s">
        <v>20</v>
      </c>
      <c r="M79" s="9">
        <v>1.9599999999999999E-2</v>
      </c>
      <c r="N79" s="8">
        <f t="shared" si="3"/>
        <v>92868.72</v>
      </c>
    </row>
    <row r="80" spans="1:14" x14ac:dyDescent="0.3">
      <c r="A80" s="2" t="s">
        <v>134</v>
      </c>
      <c r="B80" s="3">
        <v>45612</v>
      </c>
      <c r="C80" s="2" t="s">
        <v>38</v>
      </c>
      <c r="D80" s="2" t="s">
        <v>46</v>
      </c>
      <c r="E80" s="2" t="s">
        <v>50</v>
      </c>
      <c r="F80" s="2">
        <v>4</v>
      </c>
      <c r="G80" s="2">
        <v>89</v>
      </c>
      <c r="H80" s="2">
        <v>26800</v>
      </c>
      <c r="I80" s="4">
        <f t="shared" si="2"/>
        <v>2385200</v>
      </c>
      <c r="J80" s="2" t="s">
        <v>66</v>
      </c>
      <c r="K80" s="2" t="s">
        <v>19</v>
      </c>
      <c r="L80" s="2" t="s">
        <v>43</v>
      </c>
      <c r="M80" s="5">
        <v>1.4E-2</v>
      </c>
      <c r="N80" s="4">
        <f t="shared" si="3"/>
        <v>33392.800000000003</v>
      </c>
    </row>
    <row r="81" spans="1:14" x14ac:dyDescent="0.3">
      <c r="A81" s="6" t="s">
        <v>135</v>
      </c>
      <c r="B81" s="7">
        <v>45613</v>
      </c>
      <c r="C81" s="6" t="s">
        <v>45</v>
      </c>
      <c r="D81" s="6" t="s">
        <v>101</v>
      </c>
      <c r="E81" s="6" t="s">
        <v>47</v>
      </c>
      <c r="F81" s="6" t="s">
        <v>41</v>
      </c>
      <c r="G81" s="6">
        <v>53</v>
      </c>
      <c r="H81" s="6">
        <v>59290</v>
      </c>
      <c r="I81" s="8">
        <f t="shared" si="2"/>
        <v>3142370</v>
      </c>
      <c r="J81" s="6" t="s">
        <v>55</v>
      </c>
      <c r="K81" s="6" t="s">
        <v>19</v>
      </c>
      <c r="L81" s="6" t="s">
        <v>43</v>
      </c>
      <c r="M81" s="9">
        <v>0.01</v>
      </c>
      <c r="N81" s="8">
        <f t="shared" si="3"/>
        <v>31423.7</v>
      </c>
    </row>
    <row r="82" spans="1:14" x14ac:dyDescent="0.3">
      <c r="A82" s="2" t="s">
        <v>136</v>
      </c>
      <c r="B82" s="3">
        <v>45614</v>
      </c>
      <c r="C82" s="2" t="s">
        <v>70</v>
      </c>
      <c r="D82" s="2" t="s">
        <v>63</v>
      </c>
      <c r="E82" s="2" t="s">
        <v>50</v>
      </c>
      <c r="F82" s="2">
        <v>3</v>
      </c>
      <c r="G82" s="2">
        <v>142</v>
      </c>
      <c r="H82" s="2">
        <v>31140</v>
      </c>
      <c r="I82" s="4">
        <f t="shared" si="2"/>
        <v>4421880</v>
      </c>
      <c r="J82" s="2" t="s">
        <v>58</v>
      </c>
      <c r="K82" s="2" t="s">
        <v>19</v>
      </c>
      <c r="L82" s="2" t="s">
        <v>43</v>
      </c>
      <c r="M82" s="5">
        <v>1.8100000000000002E-2</v>
      </c>
      <c r="N82" s="4">
        <f t="shared" si="3"/>
        <v>80036.028000000006</v>
      </c>
    </row>
    <row r="83" spans="1:14" x14ac:dyDescent="0.3">
      <c r="A83" s="6" t="s">
        <v>137</v>
      </c>
      <c r="B83" s="7">
        <v>45615</v>
      </c>
      <c r="C83" s="6" t="s">
        <v>22</v>
      </c>
      <c r="D83" s="6" t="s">
        <v>30</v>
      </c>
      <c r="E83" s="6" t="s">
        <v>50</v>
      </c>
      <c r="F83" s="6">
        <v>3</v>
      </c>
      <c r="G83" s="6">
        <v>149</v>
      </c>
      <c r="H83" s="6">
        <v>42410</v>
      </c>
      <c r="I83" s="8">
        <f t="shared" si="2"/>
        <v>6319090</v>
      </c>
      <c r="J83" s="6" t="s">
        <v>61</v>
      </c>
      <c r="K83" s="6" t="s">
        <v>25</v>
      </c>
      <c r="L83" s="6" t="s">
        <v>20</v>
      </c>
      <c r="M83" s="9">
        <v>1.54E-2</v>
      </c>
      <c r="N83" s="8">
        <f t="shared" si="3"/>
        <v>97313.986000000004</v>
      </c>
    </row>
    <row r="84" spans="1:14" x14ac:dyDescent="0.3">
      <c r="A84" s="2" t="s">
        <v>138</v>
      </c>
      <c r="B84" s="3">
        <v>45619</v>
      </c>
      <c r="C84" s="2" t="s">
        <v>38</v>
      </c>
      <c r="D84" s="2" t="s">
        <v>35</v>
      </c>
      <c r="E84" s="2" t="s">
        <v>47</v>
      </c>
      <c r="F84" s="2" t="s">
        <v>41</v>
      </c>
      <c r="G84" s="2">
        <v>100</v>
      </c>
      <c r="H84" s="2">
        <v>51790</v>
      </c>
      <c r="I84" s="4">
        <f t="shared" si="2"/>
        <v>5179000</v>
      </c>
      <c r="J84" s="2" t="s">
        <v>64</v>
      </c>
      <c r="K84" s="2" t="s">
        <v>25</v>
      </c>
      <c r="L84" s="2" t="s">
        <v>43</v>
      </c>
      <c r="M84" s="5">
        <v>1.9599999999999999E-2</v>
      </c>
      <c r="N84" s="4">
        <f t="shared" si="3"/>
        <v>101508.4</v>
      </c>
    </row>
    <row r="85" spans="1:14" x14ac:dyDescent="0.3">
      <c r="A85" s="6" t="s">
        <v>139</v>
      </c>
      <c r="B85" s="7">
        <v>45621</v>
      </c>
      <c r="C85" s="6" t="s">
        <v>34</v>
      </c>
      <c r="D85" s="6" t="s">
        <v>35</v>
      </c>
      <c r="E85" s="6" t="s">
        <v>24</v>
      </c>
      <c r="F85" s="6">
        <v>4</v>
      </c>
      <c r="G85" s="6">
        <v>319</v>
      </c>
      <c r="H85" s="6">
        <v>33260</v>
      </c>
      <c r="I85" s="8">
        <f t="shared" si="2"/>
        <v>10609940</v>
      </c>
      <c r="J85" s="6" t="s">
        <v>53</v>
      </c>
      <c r="K85" s="6" t="s">
        <v>19</v>
      </c>
      <c r="L85" s="6" t="s">
        <v>43</v>
      </c>
      <c r="M85" s="9">
        <v>1.7999999999999999E-2</v>
      </c>
      <c r="N85" s="8">
        <f t="shared" si="3"/>
        <v>190978.91999999998</v>
      </c>
    </row>
    <row r="86" spans="1:14" x14ac:dyDescent="0.3">
      <c r="A86" s="2" t="s">
        <v>140</v>
      </c>
      <c r="B86" s="3">
        <v>45626</v>
      </c>
      <c r="C86" s="2" t="s">
        <v>38</v>
      </c>
      <c r="D86" s="2" t="s">
        <v>16</v>
      </c>
      <c r="E86" s="2" t="s">
        <v>31</v>
      </c>
      <c r="F86" s="2">
        <v>3</v>
      </c>
      <c r="G86" s="2">
        <v>313</v>
      </c>
      <c r="H86" s="2">
        <v>34120</v>
      </c>
      <c r="I86" s="4">
        <f t="shared" si="2"/>
        <v>10679560</v>
      </c>
      <c r="J86" s="2" t="s">
        <v>66</v>
      </c>
      <c r="K86" s="2" t="s">
        <v>19</v>
      </c>
      <c r="L86" s="2" t="s">
        <v>43</v>
      </c>
      <c r="M86" s="5">
        <v>1.0800000000000001E-2</v>
      </c>
      <c r="N86" s="4">
        <f t="shared" si="3"/>
        <v>115339.24800000001</v>
      </c>
    </row>
    <row r="87" spans="1:14" x14ac:dyDescent="0.3">
      <c r="A87" s="6" t="s">
        <v>141</v>
      </c>
      <c r="B87" s="7">
        <v>45633</v>
      </c>
      <c r="C87" s="6" t="s">
        <v>34</v>
      </c>
      <c r="D87" s="6" t="s">
        <v>52</v>
      </c>
      <c r="E87" s="6" t="s">
        <v>24</v>
      </c>
      <c r="F87" s="6">
        <v>4</v>
      </c>
      <c r="G87" s="6">
        <v>435</v>
      </c>
      <c r="H87" s="6">
        <v>32680</v>
      </c>
      <c r="I87" s="8">
        <f t="shared" si="2"/>
        <v>14215800</v>
      </c>
      <c r="J87" s="6" t="s">
        <v>42</v>
      </c>
      <c r="K87" s="6" t="s">
        <v>19</v>
      </c>
      <c r="L87" s="6" t="s">
        <v>20</v>
      </c>
      <c r="M87" s="9">
        <v>2.3199999999999998E-2</v>
      </c>
      <c r="N87" s="8">
        <f t="shared" si="3"/>
        <v>329806.56</v>
      </c>
    </row>
    <row r="88" spans="1:14" x14ac:dyDescent="0.3">
      <c r="A88" s="2" t="s">
        <v>142</v>
      </c>
      <c r="B88" s="3">
        <v>45636</v>
      </c>
      <c r="C88" s="2" t="s">
        <v>27</v>
      </c>
      <c r="D88" s="2" t="s">
        <v>35</v>
      </c>
      <c r="E88" s="2" t="s">
        <v>50</v>
      </c>
      <c r="F88" s="2">
        <v>4</v>
      </c>
      <c r="G88" s="2">
        <v>87</v>
      </c>
      <c r="H88" s="2">
        <v>36720</v>
      </c>
      <c r="I88" s="4">
        <f t="shared" si="2"/>
        <v>3194640</v>
      </c>
      <c r="J88" s="2" t="s">
        <v>58</v>
      </c>
      <c r="K88" s="2" t="s">
        <v>25</v>
      </c>
      <c r="L88" s="2" t="s">
        <v>43</v>
      </c>
      <c r="M88" s="5">
        <v>1.7999999999999999E-2</v>
      </c>
      <c r="N88" s="4">
        <f t="shared" si="3"/>
        <v>57503.519999999997</v>
      </c>
    </row>
    <row r="89" spans="1:14" x14ac:dyDescent="0.3">
      <c r="A89" s="6" t="s">
        <v>143</v>
      </c>
      <c r="B89" s="7">
        <v>45645</v>
      </c>
      <c r="C89" s="6" t="s">
        <v>45</v>
      </c>
      <c r="D89" s="6" t="s">
        <v>35</v>
      </c>
      <c r="E89" s="6" t="s">
        <v>31</v>
      </c>
      <c r="F89" s="6">
        <v>4</v>
      </c>
      <c r="G89" s="6">
        <v>302</v>
      </c>
      <c r="H89" s="6">
        <v>37100</v>
      </c>
      <c r="I89" s="8">
        <f t="shared" si="2"/>
        <v>11204200</v>
      </c>
      <c r="J89" s="6" t="s">
        <v>18</v>
      </c>
      <c r="K89" s="6" t="s">
        <v>19</v>
      </c>
      <c r="L89" s="6" t="s">
        <v>20</v>
      </c>
      <c r="M89" s="9">
        <v>2.4799999999999999E-2</v>
      </c>
      <c r="N89" s="8">
        <f t="shared" si="3"/>
        <v>277864.15999999997</v>
      </c>
    </row>
    <row r="90" spans="1:14" x14ac:dyDescent="0.3">
      <c r="A90" s="2" t="s">
        <v>144</v>
      </c>
      <c r="B90" s="3">
        <v>45649</v>
      </c>
      <c r="C90" s="2" t="s">
        <v>57</v>
      </c>
      <c r="D90" s="2" t="s">
        <v>16</v>
      </c>
      <c r="E90" s="2" t="s">
        <v>17</v>
      </c>
      <c r="F90" s="2">
        <v>4</v>
      </c>
      <c r="G90" s="2">
        <v>126</v>
      </c>
      <c r="H90" s="2">
        <v>34380</v>
      </c>
      <c r="I90" s="4">
        <f t="shared" si="2"/>
        <v>4331880</v>
      </c>
      <c r="J90" s="2" t="s">
        <v>66</v>
      </c>
      <c r="K90" s="2" t="s">
        <v>19</v>
      </c>
      <c r="L90" s="2" t="s">
        <v>20</v>
      </c>
      <c r="M90" s="5">
        <v>2.4E-2</v>
      </c>
      <c r="N90" s="4">
        <f t="shared" si="3"/>
        <v>103965.12</v>
      </c>
    </row>
    <row r="91" spans="1:14" x14ac:dyDescent="0.3">
      <c r="A91" s="6" t="s">
        <v>145</v>
      </c>
      <c r="B91" s="7">
        <v>45650</v>
      </c>
      <c r="C91" s="6" t="s">
        <v>70</v>
      </c>
      <c r="D91" s="6" t="s">
        <v>35</v>
      </c>
      <c r="E91" s="6" t="s">
        <v>40</v>
      </c>
      <c r="F91" s="6" t="s">
        <v>41</v>
      </c>
      <c r="G91" s="6">
        <v>66</v>
      </c>
      <c r="H91" s="6">
        <v>39630</v>
      </c>
      <c r="I91" s="8">
        <f t="shared" si="2"/>
        <v>2615580</v>
      </c>
      <c r="J91" s="6" t="s">
        <v>55</v>
      </c>
      <c r="K91" s="6" t="s">
        <v>19</v>
      </c>
      <c r="L91" s="6" t="s">
        <v>20</v>
      </c>
      <c r="M91" s="9">
        <v>1.23E-2</v>
      </c>
      <c r="N91" s="8">
        <f t="shared" si="3"/>
        <v>32171.634000000002</v>
      </c>
    </row>
    <row r="92" spans="1:14" x14ac:dyDescent="0.3">
      <c r="A92" s="2" t="s">
        <v>146</v>
      </c>
      <c r="B92" s="3">
        <v>45651</v>
      </c>
      <c r="C92" s="2" t="s">
        <v>15</v>
      </c>
      <c r="D92" s="2" t="s">
        <v>49</v>
      </c>
      <c r="E92" s="2" t="s">
        <v>40</v>
      </c>
      <c r="F92" s="2" t="s">
        <v>41</v>
      </c>
      <c r="G92" s="2">
        <v>182</v>
      </c>
      <c r="H92" s="2">
        <v>40860</v>
      </c>
      <c r="I92" s="4">
        <f t="shared" si="2"/>
        <v>7436520</v>
      </c>
      <c r="J92" s="2" t="s">
        <v>32</v>
      </c>
      <c r="K92" s="2" t="s">
        <v>19</v>
      </c>
      <c r="L92" s="2" t="s">
        <v>43</v>
      </c>
      <c r="M92" s="5">
        <v>2.4199999999999999E-2</v>
      </c>
      <c r="N92" s="4">
        <f t="shared" si="3"/>
        <v>179963.78399999999</v>
      </c>
    </row>
    <row r="93" spans="1:14" x14ac:dyDescent="0.3">
      <c r="A93" s="6" t="s">
        <v>147</v>
      </c>
      <c r="B93" s="7">
        <v>45652</v>
      </c>
      <c r="C93" s="6" t="s">
        <v>15</v>
      </c>
      <c r="D93" s="6" t="s">
        <v>52</v>
      </c>
      <c r="E93" s="6" t="s">
        <v>31</v>
      </c>
      <c r="F93" s="6">
        <v>3</v>
      </c>
      <c r="G93" s="6">
        <v>238</v>
      </c>
      <c r="H93" s="6">
        <v>30580</v>
      </c>
      <c r="I93" s="8">
        <f t="shared" si="2"/>
        <v>7278040</v>
      </c>
      <c r="J93" s="6" t="s">
        <v>73</v>
      </c>
      <c r="K93" s="6" t="s">
        <v>19</v>
      </c>
      <c r="L93" s="6" t="s">
        <v>43</v>
      </c>
      <c r="M93" s="9">
        <v>2.1399999999999999E-2</v>
      </c>
      <c r="N93" s="8">
        <f t="shared" si="3"/>
        <v>155750.05599999998</v>
      </c>
    </row>
    <row r="94" spans="1:14" x14ac:dyDescent="0.3">
      <c r="A94" s="2" t="s">
        <v>148</v>
      </c>
      <c r="B94" s="3">
        <v>45662</v>
      </c>
      <c r="C94" s="2" t="s">
        <v>27</v>
      </c>
      <c r="D94" s="2" t="s">
        <v>63</v>
      </c>
      <c r="E94" s="2" t="s">
        <v>47</v>
      </c>
      <c r="F94" s="2" t="s">
        <v>41</v>
      </c>
      <c r="G94" s="2">
        <v>64</v>
      </c>
      <c r="H94" s="2">
        <v>60570</v>
      </c>
      <c r="I94" s="4">
        <f t="shared" si="2"/>
        <v>3876480</v>
      </c>
      <c r="J94" s="2" t="s">
        <v>53</v>
      </c>
      <c r="K94" s="2" t="s">
        <v>25</v>
      </c>
      <c r="L94" s="2" t="s">
        <v>43</v>
      </c>
      <c r="M94" s="5">
        <v>1.78E-2</v>
      </c>
      <c r="N94" s="4">
        <f t="shared" si="3"/>
        <v>69001.343999999997</v>
      </c>
    </row>
    <row r="95" spans="1:14" x14ac:dyDescent="0.3">
      <c r="A95" s="6" t="s">
        <v>149</v>
      </c>
      <c r="B95" s="7">
        <v>45662</v>
      </c>
      <c r="C95" s="6" t="s">
        <v>70</v>
      </c>
      <c r="D95" s="6" t="s">
        <v>35</v>
      </c>
      <c r="E95" s="6" t="s">
        <v>24</v>
      </c>
      <c r="F95" s="6">
        <v>4</v>
      </c>
      <c r="G95" s="6">
        <v>448</v>
      </c>
      <c r="H95" s="6">
        <v>35040</v>
      </c>
      <c r="I95" s="8">
        <f t="shared" si="2"/>
        <v>15697920</v>
      </c>
      <c r="J95" s="6" t="s">
        <v>61</v>
      </c>
      <c r="K95" s="6" t="s">
        <v>19</v>
      </c>
      <c r="L95" s="6" t="s">
        <v>43</v>
      </c>
      <c r="M95" s="9">
        <v>1.7000000000000001E-2</v>
      </c>
      <c r="N95" s="8">
        <f t="shared" si="3"/>
        <v>266864.64000000001</v>
      </c>
    </row>
    <row r="96" spans="1:14" x14ac:dyDescent="0.3">
      <c r="A96" s="2" t="s">
        <v>150</v>
      </c>
      <c r="B96" s="3">
        <v>45671</v>
      </c>
      <c r="C96" s="2" t="s">
        <v>38</v>
      </c>
      <c r="D96" s="2" t="s">
        <v>63</v>
      </c>
      <c r="E96" s="2" t="s">
        <v>17</v>
      </c>
      <c r="F96" s="2">
        <v>4</v>
      </c>
      <c r="G96" s="2">
        <v>142</v>
      </c>
      <c r="H96" s="2">
        <v>29880</v>
      </c>
      <c r="I96" s="4">
        <f t="shared" si="2"/>
        <v>4242960</v>
      </c>
      <c r="J96" s="2" t="s">
        <v>73</v>
      </c>
      <c r="K96" s="2" t="s">
        <v>19</v>
      </c>
      <c r="L96" s="2" t="s">
        <v>20</v>
      </c>
      <c r="M96" s="5">
        <v>1.17E-2</v>
      </c>
      <c r="N96" s="4">
        <f t="shared" si="3"/>
        <v>49642.631999999998</v>
      </c>
    </row>
    <row r="97" spans="1:14" x14ac:dyDescent="0.3">
      <c r="A97" s="6" t="s">
        <v>151</v>
      </c>
      <c r="B97" s="7">
        <v>45679</v>
      </c>
      <c r="C97" s="6" t="s">
        <v>27</v>
      </c>
      <c r="D97" s="6" t="s">
        <v>30</v>
      </c>
      <c r="E97" s="6" t="s">
        <v>31</v>
      </c>
      <c r="F97" s="6">
        <v>3</v>
      </c>
      <c r="G97" s="6">
        <v>324</v>
      </c>
      <c r="H97" s="6">
        <v>40410</v>
      </c>
      <c r="I97" s="8">
        <f t="shared" si="2"/>
        <v>13092840</v>
      </c>
      <c r="J97" s="6" t="s">
        <v>36</v>
      </c>
      <c r="K97" s="6" t="s">
        <v>19</v>
      </c>
      <c r="L97" s="6" t="s">
        <v>20</v>
      </c>
      <c r="M97" s="9">
        <v>1.9900000000000001E-2</v>
      </c>
      <c r="N97" s="8">
        <f t="shared" si="3"/>
        <v>260547.516</v>
      </c>
    </row>
    <row r="98" spans="1:14" x14ac:dyDescent="0.3">
      <c r="A98" s="2" t="s">
        <v>152</v>
      </c>
      <c r="B98" s="3">
        <v>45687</v>
      </c>
      <c r="C98" s="2" t="s">
        <v>34</v>
      </c>
      <c r="D98" s="2" t="s">
        <v>63</v>
      </c>
      <c r="E98" s="2" t="s">
        <v>17</v>
      </c>
      <c r="F98" s="2">
        <v>3</v>
      </c>
      <c r="G98" s="2">
        <v>101</v>
      </c>
      <c r="H98" s="2">
        <v>31150</v>
      </c>
      <c r="I98" s="4">
        <f t="shared" si="2"/>
        <v>3146150</v>
      </c>
      <c r="J98" s="2" t="s">
        <v>66</v>
      </c>
      <c r="K98" s="2" t="s">
        <v>25</v>
      </c>
      <c r="L98" s="2" t="s">
        <v>43</v>
      </c>
      <c r="M98" s="5">
        <v>1.7899999999999999E-2</v>
      </c>
      <c r="N98" s="4">
        <f t="shared" si="3"/>
        <v>56316.084999999999</v>
      </c>
    </row>
    <row r="99" spans="1:14" x14ac:dyDescent="0.3">
      <c r="A99" s="6" t="s">
        <v>153</v>
      </c>
      <c r="B99" s="7">
        <v>45687</v>
      </c>
      <c r="C99" s="6" t="s">
        <v>22</v>
      </c>
      <c r="D99" s="6" t="s">
        <v>52</v>
      </c>
      <c r="E99" s="6" t="s">
        <v>40</v>
      </c>
      <c r="F99" s="6" t="s">
        <v>41</v>
      </c>
      <c r="G99" s="6">
        <v>179</v>
      </c>
      <c r="H99" s="6">
        <v>67620</v>
      </c>
      <c r="I99" s="8">
        <f t="shared" si="2"/>
        <v>12103980</v>
      </c>
      <c r="J99" s="6" t="s">
        <v>36</v>
      </c>
      <c r="K99" s="6" t="s">
        <v>25</v>
      </c>
      <c r="L99" s="6" t="s">
        <v>43</v>
      </c>
      <c r="M99" s="9">
        <v>1.8700000000000001E-2</v>
      </c>
      <c r="N99" s="8">
        <f t="shared" si="3"/>
        <v>226344.42600000001</v>
      </c>
    </row>
    <row r="100" spans="1:14" x14ac:dyDescent="0.3">
      <c r="A100" s="2" t="s">
        <v>154</v>
      </c>
      <c r="B100" s="3">
        <v>45688</v>
      </c>
      <c r="C100" s="2" t="s">
        <v>45</v>
      </c>
      <c r="D100" s="2" t="s">
        <v>46</v>
      </c>
      <c r="E100" s="2" t="s">
        <v>40</v>
      </c>
      <c r="F100" s="2" t="s">
        <v>41</v>
      </c>
      <c r="G100" s="2">
        <v>144</v>
      </c>
      <c r="H100" s="2">
        <v>48960</v>
      </c>
      <c r="I100" s="4">
        <f t="shared" si="2"/>
        <v>7050240</v>
      </c>
      <c r="J100" s="2" t="s">
        <v>18</v>
      </c>
      <c r="K100" s="2" t="s">
        <v>19</v>
      </c>
      <c r="L100" s="2" t="s">
        <v>43</v>
      </c>
      <c r="M100" s="5">
        <v>1.84E-2</v>
      </c>
      <c r="N100" s="4">
        <f t="shared" si="3"/>
        <v>129724.416</v>
      </c>
    </row>
    <row r="101" spans="1:14" x14ac:dyDescent="0.3">
      <c r="A101" s="6" t="s">
        <v>155</v>
      </c>
      <c r="B101" s="7">
        <v>45690</v>
      </c>
      <c r="C101" s="6" t="s">
        <v>38</v>
      </c>
      <c r="D101" s="6" t="s">
        <v>16</v>
      </c>
      <c r="E101" s="6" t="s">
        <v>40</v>
      </c>
      <c r="F101" s="6" t="s">
        <v>41</v>
      </c>
      <c r="G101" s="6">
        <v>83</v>
      </c>
      <c r="H101" s="6">
        <v>40010</v>
      </c>
      <c r="I101" s="8">
        <f t="shared" si="2"/>
        <v>3320830</v>
      </c>
      <c r="J101" s="6" t="s">
        <v>64</v>
      </c>
      <c r="K101" s="6" t="s">
        <v>67</v>
      </c>
      <c r="L101" s="6" t="s">
        <v>43</v>
      </c>
      <c r="M101" s="9">
        <v>2.3599999999999999E-2</v>
      </c>
      <c r="N101" s="8">
        <f t="shared" si="3"/>
        <v>78371.588000000003</v>
      </c>
    </row>
    <row r="102" spans="1:14" x14ac:dyDescent="0.3">
      <c r="A102" s="2" t="s">
        <v>156</v>
      </c>
      <c r="B102" s="3">
        <v>45691</v>
      </c>
      <c r="C102" s="2" t="s">
        <v>45</v>
      </c>
      <c r="D102" s="2" t="s">
        <v>30</v>
      </c>
      <c r="E102" s="2" t="s">
        <v>40</v>
      </c>
      <c r="F102" s="2" t="s">
        <v>41</v>
      </c>
      <c r="G102" s="2">
        <v>163</v>
      </c>
      <c r="H102" s="2">
        <v>49060</v>
      </c>
      <c r="I102" s="4">
        <f t="shared" si="2"/>
        <v>7996780</v>
      </c>
      <c r="J102" s="2" t="s">
        <v>55</v>
      </c>
      <c r="K102" s="2" t="s">
        <v>19</v>
      </c>
      <c r="L102" s="2" t="s">
        <v>20</v>
      </c>
      <c r="M102" s="5">
        <v>1.7299999999999999E-2</v>
      </c>
      <c r="N102" s="4">
        <f t="shared" si="3"/>
        <v>138344.29399999999</v>
      </c>
    </row>
    <row r="103" spans="1:14" x14ac:dyDescent="0.3">
      <c r="A103" s="6" t="s">
        <v>157</v>
      </c>
      <c r="B103" s="7">
        <v>45699</v>
      </c>
      <c r="C103" s="6" t="s">
        <v>27</v>
      </c>
      <c r="D103" s="6" t="s">
        <v>46</v>
      </c>
      <c r="E103" s="6" t="s">
        <v>40</v>
      </c>
      <c r="F103" s="6" t="s">
        <v>41</v>
      </c>
      <c r="G103" s="6">
        <v>180</v>
      </c>
      <c r="H103" s="6">
        <v>48590</v>
      </c>
      <c r="I103" s="8">
        <f t="shared" si="2"/>
        <v>8746200</v>
      </c>
      <c r="J103" s="6" t="s">
        <v>73</v>
      </c>
      <c r="K103" s="6" t="s">
        <v>19</v>
      </c>
      <c r="L103" s="6" t="s">
        <v>43</v>
      </c>
      <c r="M103" s="9">
        <v>1.7299999999999999E-2</v>
      </c>
      <c r="N103" s="8">
        <f t="shared" si="3"/>
        <v>151309.26</v>
      </c>
    </row>
    <row r="104" spans="1:14" x14ac:dyDescent="0.3">
      <c r="A104" s="2" t="s">
        <v>158</v>
      </c>
      <c r="B104" s="3">
        <v>45701</v>
      </c>
      <c r="C104" s="2" t="s">
        <v>38</v>
      </c>
      <c r="D104" s="2" t="s">
        <v>49</v>
      </c>
      <c r="E104" s="2" t="s">
        <v>17</v>
      </c>
      <c r="F104" s="2">
        <v>4</v>
      </c>
      <c r="G104" s="2">
        <v>169</v>
      </c>
      <c r="H104" s="2">
        <v>28150</v>
      </c>
      <c r="I104" s="4">
        <f t="shared" si="2"/>
        <v>4757350</v>
      </c>
      <c r="J104" s="2" t="s">
        <v>58</v>
      </c>
      <c r="K104" s="2" t="s">
        <v>19</v>
      </c>
      <c r="L104" s="2" t="s">
        <v>43</v>
      </c>
      <c r="M104" s="5">
        <v>1.52E-2</v>
      </c>
      <c r="N104" s="4">
        <f t="shared" si="3"/>
        <v>72311.72</v>
      </c>
    </row>
    <row r="105" spans="1:14" x14ac:dyDescent="0.3">
      <c r="A105" s="6" t="s">
        <v>159</v>
      </c>
      <c r="B105" s="7">
        <v>45702</v>
      </c>
      <c r="C105" s="6" t="s">
        <v>27</v>
      </c>
      <c r="D105" s="6" t="s">
        <v>23</v>
      </c>
      <c r="E105" s="6" t="s">
        <v>40</v>
      </c>
      <c r="F105" s="6" t="s">
        <v>41</v>
      </c>
      <c r="G105" s="6">
        <v>149</v>
      </c>
      <c r="H105" s="6">
        <v>44790</v>
      </c>
      <c r="I105" s="8">
        <f t="shared" si="2"/>
        <v>6673710</v>
      </c>
      <c r="J105" s="6" t="s">
        <v>53</v>
      </c>
      <c r="K105" s="6" t="s">
        <v>19</v>
      </c>
      <c r="L105" s="6" t="s">
        <v>43</v>
      </c>
      <c r="M105" s="9">
        <v>1.6799999999999999E-2</v>
      </c>
      <c r="N105" s="8">
        <f t="shared" si="3"/>
        <v>112118.32799999999</v>
      </c>
    </row>
    <row r="106" spans="1:14" x14ac:dyDescent="0.3">
      <c r="A106" s="2" t="s">
        <v>160</v>
      </c>
      <c r="B106" s="3">
        <v>45708</v>
      </c>
      <c r="C106" s="2" t="s">
        <v>15</v>
      </c>
      <c r="D106" s="2" t="s">
        <v>30</v>
      </c>
      <c r="E106" s="2" t="s">
        <v>24</v>
      </c>
      <c r="F106" s="2">
        <v>4</v>
      </c>
      <c r="G106" s="2">
        <v>423</v>
      </c>
      <c r="H106" s="2">
        <v>36680</v>
      </c>
      <c r="I106" s="4">
        <f t="shared" si="2"/>
        <v>15515640</v>
      </c>
      <c r="J106" s="2" t="s">
        <v>28</v>
      </c>
      <c r="K106" s="2" t="s">
        <v>25</v>
      </c>
      <c r="L106" s="2" t="s">
        <v>20</v>
      </c>
      <c r="M106" s="5">
        <v>1.3299999999999999E-2</v>
      </c>
      <c r="N106" s="4">
        <f t="shared" si="3"/>
        <v>206358.01199999999</v>
      </c>
    </row>
    <row r="107" spans="1:14" x14ac:dyDescent="0.3">
      <c r="A107" s="6" t="s">
        <v>161</v>
      </c>
      <c r="B107" s="7">
        <v>45716</v>
      </c>
      <c r="C107" s="6" t="s">
        <v>27</v>
      </c>
      <c r="D107" s="6" t="s">
        <v>63</v>
      </c>
      <c r="E107" s="6" t="s">
        <v>47</v>
      </c>
      <c r="F107" s="6" t="s">
        <v>41</v>
      </c>
      <c r="G107" s="6">
        <v>85</v>
      </c>
      <c r="H107" s="6">
        <v>64900</v>
      </c>
      <c r="I107" s="8">
        <f t="shared" si="2"/>
        <v>5516500</v>
      </c>
      <c r="J107" s="6" t="s">
        <v>61</v>
      </c>
      <c r="K107" s="6" t="s">
        <v>25</v>
      </c>
      <c r="L107" s="6" t="s">
        <v>20</v>
      </c>
      <c r="M107" s="9">
        <v>1.67E-2</v>
      </c>
      <c r="N107" s="8">
        <f t="shared" si="3"/>
        <v>92125.55</v>
      </c>
    </row>
    <row r="108" spans="1:14" x14ac:dyDescent="0.3">
      <c r="A108" s="2" t="s">
        <v>162</v>
      </c>
      <c r="B108" s="3">
        <v>45717</v>
      </c>
      <c r="C108" s="2" t="s">
        <v>34</v>
      </c>
      <c r="D108" s="2" t="s">
        <v>39</v>
      </c>
      <c r="E108" s="2" t="s">
        <v>24</v>
      </c>
      <c r="F108" s="2">
        <v>3</v>
      </c>
      <c r="G108" s="2">
        <v>447</v>
      </c>
      <c r="H108" s="2">
        <v>34970</v>
      </c>
      <c r="I108" s="4">
        <f t="shared" si="2"/>
        <v>15631590</v>
      </c>
      <c r="J108" s="2" t="s">
        <v>42</v>
      </c>
      <c r="K108" s="2" t="s">
        <v>19</v>
      </c>
      <c r="L108" s="2" t="s">
        <v>20</v>
      </c>
      <c r="M108" s="5">
        <v>1.2500000000000001E-2</v>
      </c>
      <c r="N108" s="4">
        <f t="shared" si="3"/>
        <v>195394.875</v>
      </c>
    </row>
    <row r="109" spans="1:14" x14ac:dyDescent="0.3">
      <c r="A109" s="6" t="s">
        <v>163</v>
      </c>
      <c r="B109" s="7">
        <v>45721</v>
      </c>
      <c r="C109" s="6" t="s">
        <v>70</v>
      </c>
      <c r="D109" s="6" t="s">
        <v>63</v>
      </c>
      <c r="E109" s="6" t="s">
        <v>47</v>
      </c>
      <c r="F109" s="6" t="s">
        <v>41</v>
      </c>
      <c r="G109" s="6">
        <v>71</v>
      </c>
      <c r="H109" s="6">
        <v>56470</v>
      </c>
      <c r="I109" s="8">
        <f t="shared" si="2"/>
        <v>4009370</v>
      </c>
      <c r="J109" s="6" t="s">
        <v>64</v>
      </c>
      <c r="K109" s="6" t="s">
        <v>25</v>
      </c>
      <c r="L109" s="6" t="s">
        <v>43</v>
      </c>
      <c r="M109" s="9">
        <v>1.23E-2</v>
      </c>
      <c r="N109" s="8">
        <f t="shared" si="3"/>
        <v>49315.251000000004</v>
      </c>
    </row>
    <row r="110" spans="1:14" x14ac:dyDescent="0.3">
      <c r="A110" s="2" t="s">
        <v>164</v>
      </c>
      <c r="B110" s="3">
        <v>45738</v>
      </c>
      <c r="C110" s="2" t="s">
        <v>15</v>
      </c>
      <c r="D110" s="2" t="s">
        <v>35</v>
      </c>
      <c r="E110" s="2" t="s">
        <v>50</v>
      </c>
      <c r="F110" s="2">
        <v>5</v>
      </c>
      <c r="G110" s="2">
        <v>104</v>
      </c>
      <c r="H110" s="2">
        <v>27840</v>
      </c>
      <c r="I110" s="4">
        <f t="shared" si="2"/>
        <v>2895360</v>
      </c>
      <c r="J110" s="2" t="s">
        <v>66</v>
      </c>
      <c r="K110" s="2" t="s">
        <v>25</v>
      </c>
      <c r="L110" s="2" t="s">
        <v>43</v>
      </c>
      <c r="M110" s="5">
        <v>2.0400000000000001E-2</v>
      </c>
      <c r="N110" s="4">
        <f t="shared" si="3"/>
        <v>59065.344000000005</v>
      </c>
    </row>
    <row r="111" spans="1:14" x14ac:dyDescent="0.3">
      <c r="A111" s="6" t="s">
        <v>165</v>
      </c>
      <c r="B111" s="7">
        <v>45740</v>
      </c>
      <c r="C111" s="6" t="s">
        <v>15</v>
      </c>
      <c r="D111" s="6" t="s">
        <v>35</v>
      </c>
      <c r="E111" s="6" t="s">
        <v>24</v>
      </c>
      <c r="F111" s="6">
        <v>4</v>
      </c>
      <c r="G111" s="6">
        <v>306</v>
      </c>
      <c r="H111" s="6">
        <v>34300</v>
      </c>
      <c r="I111" s="8">
        <f t="shared" si="2"/>
        <v>10495800</v>
      </c>
      <c r="J111" s="6" t="s">
        <v>42</v>
      </c>
      <c r="K111" s="6" t="s">
        <v>19</v>
      </c>
      <c r="L111" s="6" t="s">
        <v>20</v>
      </c>
      <c r="M111" s="9">
        <v>1.11E-2</v>
      </c>
      <c r="N111" s="8">
        <f t="shared" si="3"/>
        <v>116503.38</v>
      </c>
    </row>
    <row r="112" spans="1:14" x14ac:dyDescent="0.3">
      <c r="A112" s="2" t="s">
        <v>166</v>
      </c>
      <c r="B112" s="3">
        <v>45745</v>
      </c>
      <c r="C112" s="2" t="s">
        <v>22</v>
      </c>
      <c r="D112" s="2" t="s">
        <v>101</v>
      </c>
      <c r="E112" s="2" t="s">
        <v>50</v>
      </c>
      <c r="F112" s="2">
        <v>4</v>
      </c>
      <c r="G112" s="2">
        <v>101</v>
      </c>
      <c r="H112" s="2">
        <v>43120</v>
      </c>
      <c r="I112" s="4">
        <f t="shared" si="2"/>
        <v>4355120</v>
      </c>
      <c r="J112" s="2" t="s">
        <v>53</v>
      </c>
      <c r="K112" s="2" t="s">
        <v>19</v>
      </c>
      <c r="L112" s="2" t="s">
        <v>43</v>
      </c>
      <c r="M112" s="5">
        <v>1.9400000000000001E-2</v>
      </c>
      <c r="N112" s="4">
        <f t="shared" si="3"/>
        <v>84489.328000000009</v>
      </c>
    </row>
    <row r="113" spans="1:14" x14ac:dyDescent="0.3">
      <c r="A113" s="6" t="s">
        <v>167</v>
      </c>
      <c r="B113" s="7">
        <v>45752</v>
      </c>
      <c r="C113" s="6" t="s">
        <v>70</v>
      </c>
      <c r="D113" s="6" t="s">
        <v>46</v>
      </c>
      <c r="E113" s="6" t="s">
        <v>47</v>
      </c>
      <c r="F113" s="6" t="s">
        <v>41</v>
      </c>
      <c r="G113" s="6">
        <v>92</v>
      </c>
      <c r="H113" s="6">
        <v>48290</v>
      </c>
      <c r="I113" s="8">
        <f t="shared" si="2"/>
        <v>4442680</v>
      </c>
      <c r="J113" s="6" t="s">
        <v>61</v>
      </c>
      <c r="K113" s="6" t="s">
        <v>19</v>
      </c>
      <c r="L113" s="6" t="s">
        <v>43</v>
      </c>
      <c r="M113" s="9">
        <v>2.2599999999999999E-2</v>
      </c>
      <c r="N113" s="8">
        <f t="shared" si="3"/>
        <v>100404.568</v>
      </c>
    </row>
    <row r="114" spans="1:14" x14ac:dyDescent="0.3">
      <c r="A114" s="2" t="s">
        <v>168</v>
      </c>
      <c r="B114" s="3">
        <v>45756</v>
      </c>
      <c r="C114" s="2" t="s">
        <v>45</v>
      </c>
      <c r="D114" s="2" t="s">
        <v>35</v>
      </c>
      <c r="E114" s="2" t="s">
        <v>40</v>
      </c>
      <c r="F114" s="2" t="s">
        <v>41</v>
      </c>
      <c r="G114" s="2">
        <v>76</v>
      </c>
      <c r="H114" s="2">
        <v>47610</v>
      </c>
      <c r="I114" s="4">
        <f t="shared" si="2"/>
        <v>3618360</v>
      </c>
      <c r="J114" s="2" t="s">
        <v>42</v>
      </c>
      <c r="K114" s="2" t="s">
        <v>25</v>
      </c>
      <c r="L114" s="2" t="s">
        <v>20</v>
      </c>
      <c r="M114" s="5">
        <v>1.6799999999999999E-2</v>
      </c>
      <c r="N114" s="4">
        <f t="shared" si="3"/>
        <v>60788.447999999997</v>
      </c>
    </row>
    <row r="115" spans="1:14" x14ac:dyDescent="0.3">
      <c r="A115" s="6" t="s">
        <v>169</v>
      </c>
      <c r="B115" s="7">
        <v>45757</v>
      </c>
      <c r="C115" s="6" t="s">
        <v>22</v>
      </c>
      <c r="D115" s="6" t="s">
        <v>16</v>
      </c>
      <c r="E115" s="6" t="s">
        <v>40</v>
      </c>
      <c r="F115" s="6" t="s">
        <v>41</v>
      </c>
      <c r="G115" s="6">
        <v>194</v>
      </c>
      <c r="H115" s="6">
        <v>68030</v>
      </c>
      <c r="I115" s="8">
        <f t="shared" si="2"/>
        <v>13197820</v>
      </c>
      <c r="J115" s="6" t="s">
        <v>42</v>
      </c>
      <c r="K115" s="6" t="s">
        <v>19</v>
      </c>
      <c r="L115" s="6" t="s">
        <v>43</v>
      </c>
      <c r="M115" s="9">
        <v>1.2800000000000001E-2</v>
      </c>
      <c r="N115" s="8">
        <f t="shared" si="3"/>
        <v>168932.09600000002</v>
      </c>
    </row>
    <row r="116" spans="1:14" x14ac:dyDescent="0.3">
      <c r="A116" s="2" t="s">
        <v>170</v>
      </c>
      <c r="B116" s="3">
        <v>45759</v>
      </c>
      <c r="C116" s="2" t="s">
        <v>34</v>
      </c>
      <c r="D116" s="2" t="s">
        <v>63</v>
      </c>
      <c r="E116" s="2" t="s">
        <v>40</v>
      </c>
      <c r="F116" s="2" t="s">
        <v>41</v>
      </c>
      <c r="G116" s="2">
        <v>134</v>
      </c>
      <c r="H116" s="2">
        <v>38870</v>
      </c>
      <c r="I116" s="4">
        <f t="shared" si="2"/>
        <v>5208580</v>
      </c>
      <c r="J116" s="2" t="s">
        <v>73</v>
      </c>
      <c r="K116" s="2" t="s">
        <v>67</v>
      </c>
      <c r="L116" s="2" t="s">
        <v>43</v>
      </c>
      <c r="M116" s="5">
        <v>1.9199999999999998E-2</v>
      </c>
      <c r="N116" s="4">
        <f t="shared" si="3"/>
        <v>100004.73599999999</v>
      </c>
    </row>
    <row r="117" spans="1:14" x14ac:dyDescent="0.3">
      <c r="A117" s="6" t="s">
        <v>171</v>
      </c>
      <c r="B117" s="7">
        <v>45759</v>
      </c>
      <c r="C117" s="6" t="s">
        <v>57</v>
      </c>
      <c r="D117" s="6" t="s">
        <v>23</v>
      </c>
      <c r="E117" s="6" t="s">
        <v>50</v>
      </c>
      <c r="F117" s="6">
        <v>2</v>
      </c>
      <c r="G117" s="6">
        <v>141</v>
      </c>
      <c r="H117" s="6">
        <v>36190</v>
      </c>
      <c r="I117" s="8">
        <f t="shared" si="2"/>
        <v>5102790</v>
      </c>
      <c r="J117" s="6" t="s">
        <v>28</v>
      </c>
      <c r="K117" s="6" t="s">
        <v>25</v>
      </c>
      <c r="L117" s="6" t="s">
        <v>20</v>
      </c>
      <c r="M117" s="9">
        <v>1.9300000000000001E-2</v>
      </c>
      <c r="N117" s="8">
        <f t="shared" si="3"/>
        <v>98483.847000000009</v>
      </c>
    </row>
    <row r="118" spans="1:14" x14ac:dyDescent="0.3">
      <c r="A118" s="2" t="s">
        <v>172</v>
      </c>
      <c r="B118" s="3">
        <v>45761</v>
      </c>
      <c r="C118" s="2" t="s">
        <v>27</v>
      </c>
      <c r="D118" s="2" t="s">
        <v>35</v>
      </c>
      <c r="E118" s="2" t="s">
        <v>47</v>
      </c>
      <c r="F118" s="2" t="s">
        <v>41</v>
      </c>
      <c r="G118" s="2">
        <v>63</v>
      </c>
      <c r="H118" s="2">
        <v>56060</v>
      </c>
      <c r="I118" s="4">
        <f t="shared" si="2"/>
        <v>3531780</v>
      </c>
      <c r="J118" s="2" t="s">
        <v>73</v>
      </c>
      <c r="K118" s="2" t="s">
        <v>25</v>
      </c>
      <c r="L118" s="2" t="s">
        <v>43</v>
      </c>
      <c r="M118" s="5">
        <v>1.55E-2</v>
      </c>
      <c r="N118" s="4">
        <f t="shared" si="3"/>
        <v>54742.59</v>
      </c>
    </row>
    <row r="119" spans="1:14" x14ac:dyDescent="0.3">
      <c r="A119" s="6" t="s">
        <v>173</v>
      </c>
      <c r="B119" s="7">
        <v>45761</v>
      </c>
      <c r="C119" s="6" t="s">
        <v>57</v>
      </c>
      <c r="D119" s="6" t="s">
        <v>49</v>
      </c>
      <c r="E119" s="6" t="s">
        <v>50</v>
      </c>
      <c r="F119" s="6">
        <v>2</v>
      </c>
      <c r="G119" s="6">
        <v>139</v>
      </c>
      <c r="H119" s="6">
        <v>32300</v>
      </c>
      <c r="I119" s="8">
        <f t="shared" si="2"/>
        <v>4489700</v>
      </c>
      <c r="J119" s="6" t="s">
        <v>28</v>
      </c>
      <c r="K119" s="6" t="s">
        <v>25</v>
      </c>
      <c r="L119" s="6" t="s">
        <v>43</v>
      </c>
      <c r="M119" s="9">
        <v>2.35E-2</v>
      </c>
      <c r="N119" s="8">
        <f t="shared" si="3"/>
        <v>105507.95</v>
      </c>
    </row>
    <row r="120" spans="1:14" x14ac:dyDescent="0.3">
      <c r="A120" s="2" t="s">
        <v>174</v>
      </c>
      <c r="B120" s="3">
        <v>45768</v>
      </c>
      <c r="C120" s="2" t="s">
        <v>15</v>
      </c>
      <c r="D120" s="2" t="s">
        <v>63</v>
      </c>
      <c r="E120" s="2" t="s">
        <v>40</v>
      </c>
      <c r="F120" s="2" t="s">
        <v>41</v>
      </c>
      <c r="G120" s="2">
        <v>90</v>
      </c>
      <c r="H120" s="2">
        <v>41970</v>
      </c>
      <c r="I120" s="4">
        <f t="shared" si="2"/>
        <v>3777300</v>
      </c>
      <c r="J120" s="2" t="s">
        <v>53</v>
      </c>
      <c r="K120" s="2" t="s">
        <v>19</v>
      </c>
      <c r="L120" s="2" t="s">
        <v>20</v>
      </c>
      <c r="M120" s="5">
        <v>1.77E-2</v>
      </c>
      <c r="N120" s="4">
        <f t="shared" si="3"/>
        <v>66858.210000000006</v>
      </c>
    </row>
    <row r="121" spans="1:14" x14ac:dyDescent="0.3">
      <c r="A121" s="6" t="s">
        <v>175</v>
      </c>
      <c r="B121" s="7">
        <v>45781</v>
      </c>
      <c r="C121" s="6" t="s">
        <v>27</v>
      </c>
      <c r="D121" s="6" t="s">
        <v>35</v>
      </c>
      <c r="E121" s="6" t="s">
        <v>50</v>
      </c>
      <c r="F121" s="6">
        <v>5</v>
      </c>
      <c r="G121" s="6">
        <v>114</v>
      </c>
      <c r="H121" s="6">
        <v>34710</v>
      </c>
      <c r="I121" s="8">
        <f t="shared" si="2"/>
        <v>3956940</v>
      </c>
      <c r="J121" s="6" t="s">
        <v>61</v>
      </c>
      <c r="K121" s="6" t="s">
        <v>19</v>
      </c>
      <c r="L121" s="6" t="s">
        <v>43</v>
      </c>
      <c r="M121" s="9">
        <v>2.4199999999999999E-2</v>
      </c>
      <c r="N121" s="8">
        <f t="shared" si="3"/>
        <v>95757.948000000004</v>
      </c>
    </row>
    <row r="122" spans="1:14" x14ac:dyDescent="0.3">
      <c r="A122" s="2" t="s">
        <v>176</v>
      </c>
      <c r="B122" s="3">
        <v>45782</v>
      </c>
      <c r="C122" s="2" t="s">
        <v>34</v>
      </c>
      <c r="D122" s="2" t="s">
        <v>23</v>
      </c>
      <c r="E122" s="2" t="s">
        <v>17</v>
      </c>
      <c r="F122" s="2">
        <v>2</v>
      </c>
      <c r="G122" s="2">
        <v>154</v>
      </c>
      <c r="H122" s="2">
        <v>31010</v>
      </c>
      <c r="I122" s="4">
        <f t="shared" si="2"/>
        <v>4775540</v>
      </c>
      <c r="J122" s="2" t="s">
        <v>58</v>
      </c>
      <c r="K122" s="2" t="s">
        <v>19</v>
      </c>
      <c r="L122" s="2" t="s">
        <v>43</v>
      </c>
      <c r="M122" s="5">
        <v>2.3300000000000001E-2</v>
      </c>
      <c r="N122" s="4">
        <f t="shared" si="3"/>
        <v>111270.08200000001</v>
      </c>
    </row>
    <row r="123" spans="1:14" x14ac:dyDescent="0.3">
      <c r="A123" s="6" t="s">
        <v>177</v>
      </c>
      <c r="B123" s="7">
        <v>45785</v>
      </c>
      <c r="C123" s="6" t="s">
        <v>22</v>
      </c>
      <c r="D123" s="6" t="s">
        <v>46</v>
      </c>
      <c r="E123" s="6" t="s">
        <v>17</v>
      </c>
      <c r="F123" s="6">
        <v>3</v>
      </c>
      <c r="G123" s="6">
        <v>132</v>
      </c>
      <c r="H123" s="6">
        <v>41060</v>
      </c>
      <c r="I123" s="8">
        <f t="shared" si="2"/>
        <v>5419920</v>
      </c>
      <c r="J123" s="6" t="s">
        <v>18</v>
      </c>
      <c r="K123" s="6" t="s">
        <v>25</v>
      </c>
      <c r="L123" s="6" t="s">
        <v>43</v>
      </c>
      <c r="M123" s="9">
        <v>2.4500000000000001E-2</v>
      </c>
      <c r="N123" s="8">
        <f t="shared" si="3"/>
        <v>132788.04</v>
      </c>
    </row>
    <row r="124" spans="1:14" x14ac:dyDescent="0.3">
      <c r="A124" s="2" t="s">
        <v>178</v>
      </c>
      <c r="B124" s="3">
        <v>45793</v>
      </c>
      <c r="C124" s="2" t="s">
        <v>27</v>
      </c>
      <c r="D124" s="2" t="s">
        <v>16</v>
      </c>
      <c r="E124" s="2" t="s">
        <v>31</v>
      </c>
      <c r="F124" s="2">
        <v>5</v>
      </c>
      <c r="G124" s="2">
        <v>295</v>
      </c>
      <c r="H124" s="2">
        <v>42210</v>
      </c>
      <c r="I124" s="4">
        <f t="shared" si="2"/>
        <v>12451950</v>
      </c>
      <c r="J124" s="2" t="s">
        <v>64</v>
      </c>
      <c r="K124" s="2" t="s">
        <v>19</v>
      </c>
      <c r="L124" s="2" t="s">
        <v>43</v>
      </c>
      <c r="M124" s="5">
        <v>2.4500000000000001E-2</v>
      </c>
      <c r="N124" s="4">
        <f t="shared" si="3"/>
        <v>305072.77500000002</v>
      </c>
    </row>
    <row r="125" spans="1:14" x14ac:dyDescent="0.3">
      <c r="A125" s="6" t="s">
        <v>179</v>
      </c>
      <c r="B125" s="7">
        <v>45794</v>
      </c>
      <c r="C125" s="6" t="s">
        <v>70</v>
      </c>
      <c r="D125" s="6" t="s">
        <v>35</v>
      </c>
      <c r="E125" s="6" t="s">
        <v>24</v>
      </c>
      <c r="F125" s="6">
        <v>5</v>
      </c>
      <c r="G125" s="6">
        <v>463</v>
      </c>
      <c r="H125" s="6">
        <v>36780</v>
      </c>
      <c r="I125" s="8">
        <f t="shared" si="2"/>
        <v>17029140</v>
      </c>
      <c r="J125" s="6" t="s">
        <v>28</v>
      </c>
      <c r="K125" s="6" t="s">
        <v>67</v>
      </c>
      <c r="L125" s="6" t="s">
        <v>43</v>
      </c>
      <c r="M125" s="9">
        <v>2.4500000000000001E-2</v>
      </c>
      <c r="N125" s="8">
        <f t="shared" si="3"/>
        <v>417213.93</v>
      </c>
    </row>
    <row r="126" spans="1:14" x14ac:dyDescent="0.3">
      <c r="A126" s="2" t="s">
        <v>180</v>
      </c>
      <c r="B126" s="3">
        <v>45808</v>
      </c>
      <c r="C126" s="2" t="s">
        <v>45</v>
      </c>
      <c r="D126" s="2" t="s">
        <v>30</v>
      </c>
      <c r="E126" s="2" t="s">
        <v>50</v>
      </c>
      <c r="F126" s="2">
        <v>4</v>
      </c>
      <c r="G126" s="2">
        <v>143</v>
      </c>
      <c r="H126" s="2">
        <v>33180</v>
      </c>
      <c r="I126" s="4">
        <f t="shared" si="2"/>
        <v>4744740</v>
      </c>
      <c r="J126" s="2" t="s">
        <v>28</v>
      </c>
      <c r="K126" s="2" t="s">
        <v>19</v>
      </c>
      <c r="L126" s="2" t="s">
        <v>20</v>
      </c>
      <c r="M126" s="5">
        <v>1.9599999999999999E-2</v>
      </c>
      <c r="N126" s="4">
        <f t="shared" si="3"/>
        <v>92996.903999999995</v>
      </c>
    </row>
    <row r="127" spans="1:14" x14ac:dyDescent="0.3">
      <c r="A127" s="6" t="s">
        <v>181</v>
      </c>
      <c r="B127" s="7">
        <v>45812</v>
      </c>
      <c r="C127" s="6" t="s">
        <v>38</v>
      </c>
      <c r="D127" s="6" t="s">
        <v>49</v>
      </c>
      <c r="E127" s="6" t="s">
        <v>31</v>
      </c>
      <c r="F127" s="6">
        <v>3</v>
      </c>
      <c r="G127" s="6">
        <v>246</v>
      </c>
      <c r="H127" s="6">
        <v>34940</v>
      </c>
      <c r="I127" s="8">
        <f t="shared" si="2"/>
        <v>8595240</v>
      </c>
      <c r="J127" s="6" t="s">
        <v>28</v>
      </c>
      <c r="K127" s="6" t="s">
        <v>19</v>
      </c>
      <c r="L127" s="6" t="s">
        <v>43</v>
      </c>
      <c r="M127" s="9">
        <v>1.23E-2</v>
      </c>
      <c r="N127" s="8">
        <f t="shared" si="3"/>
        <v>105721.452</v>
      </c>
    </row>
    <row r="128" spans="1:14" x14ac:dyDescent="0.3">
      <c r="A128" s="2" t="s">
        <v>182</v>
      </c>
      <c r="B128" s="3">
        <v>45814</v>
      </c>
      <c r="C128" s="2" t="s">
        <v>27</v>
      </c>
      <c r="D128" s="2" t="s">
        <v>30</v>
      </c>
      <c r="E128" s="2" t="s">
        <v>47</v>
      </c>
      <c r="F128" s="2" t="s">
        <v>41</v>
      </c>
      <c r="G128" s="2">
        <v>61</v>
      </c>
      <c r="H128" s="2">
        <v>62640</v>
      </c>
      <c r="I128" s="4">
        <f t="shared" si="2"/>
        <v>3821040</v>
      </c>
      <c r="J128" s="2" t="s">
        <v>73</v>
      </c>
      <c r="K128" s="2" t="s">
        <v>25</v>
      </c>
      <c r="L128" s="2" t="s">
        <v>43</v>
      </c>
      <c r="M128" s="5">
        <v>2.2200000000000001E-2</v>
      </c>
      <c r="N128" s="4">
        <f t="shared" si="3"/>
        <v>84827.088000000003</v>
      </c>
    </row>
    <row r="129" spans="1:14" x14ac:dyDescent="0.3">
      <c r="A129" s="6" t="s">
        <v>183</v>
      </c>
      <c r="B129" s="7">
        <v>45825</v>
      </c>
      <c r="C129" s="6" t="s">
        <v>15</v>
      </c>
      <c r="D129" s="6" t="s">
        <v>39</v>
      </c>
      <c r="E129" s="6" t="s">
        <v>31</v>
      </c>
      <c r="F129" s="6">
        <v>3</v>
      </c>
      <c r="G129" s="6">
        <v>266</v>
      </c>
      <c r="H129" s="6">
        <v>34880</v>
      </c>
      <c r="I129" s="8">
        <f t="shared" si="2"/>
        <v>9278080</v>
      </c>
      <c r="J129" s="6" t="s">
        <v>58</v>
      </c>
      <c r="K129" s="6" t="s">
        <v>19</v>
      </c>
      <c r="L129" s="6" t="s">
        <v>43</v>
      </c>
      <c r="M129" s="9">
        <v>1.12E-2</v>
      </c>
      <c r="N129" s="8">
        <f t="shared" si="3"/>
        <v>103914.496</v>
      </c>
    </row>
    <row r="130" spans="1:14" x14ac:dyDescent="0.3">
      <c r="A130" s="2" t="s">
        <v>184</v>
      </c>
      <c r="B130" s="3">
        <v>45832</v>
      </c>
      <c r="C130" s="2" t="s">
        <v>45</v>
      </c>
      <c r="D130" s="2" t="s">
        <v>39</v>
      </c>
      <c r="E130" s="2" t="s">
        <v>47</v>
      </c>
      <c r="F130" s="2" t="s">
        <v>41</v>
      </c>
      <c r="G130" s="2">
        <v>123</v>
      </c>
      <c r="H130" s="2">
        <v>56800</v>
      </c>
      <c r="I130" s="4">
        <f t="shared" ref="I130:I181" si="4">G130*H130</f>
        <v>6986400</v>
      </c>
      <c r="J130" s="2" t="s">
        <v>53</v>
      </c>
      <c r="K130" s="2" t="s">
        <v>19</v>
      </c>
      <c r="L130" s="2" t="s">
        <v>43</v>
      </c>
      <c r="M130" s="5">
        <v>1.9699999999999999E-2</v>
      </c>
      <c r="N130" s="4">
        <f t="shared" ref="N130:N181" si="5">I130*M130</f>
        <v>137632.07999999999</v>
      </c>
    </row>
    <row r="131" spans="1:14" x14ac:dyDescent="0.3">
      <c r="A131" s="6" t="s">
        <v>185</v>
      </c>
      <c r="B131" s="7">
        <v>45835</v>
      </c>
      <c r="C131" s="6" t="s">
        <v>34</v>
      </c>
      <c r="D131" s="6" t="s">
        <v>49</v>
      </c>
      <c r="E131" s="6" t="s">
        <v>47</v>
      </c>
      <c r="F131" s="6" t="s">
        <v>41</v>
      </c>
      <c r="G131" s="6">
        <v>49</v>
      </c>
      <c r="H131" s="6">
        <v>42340</v>
      </c>
      <c r="I131" s="8">
        <f t="shared" si="4"/>
        <v>2074660</v>
      </c>
      <c r="J131" s="6" t="s">
        <v>36</v>
      </c>
      <c r="K131" s="6" t="s">
        <v>19</v>
      </c>
      <c r="L131" s="6" t="s">
        <v>43</v>
      </c>
      <c r="M131" s="9">
        <v>1.61E-2</v>
      </c>
      <c r="N131" s="8">
        <f t="shared" si="5"/>
        <v>33402.025999999998</v>
      </c>
    </row>
    <row r="132" spans="1:14" x14ac:dyDescent="0.3">
      <c r="A132" s="2" t="s">
        <v>186</v>
      </c>
      <c r="B132" s="3">
        <v>45840</v>
      </c>
      <c r="C132" s="2" t="s">
        <v>57</v>
      </c>
      <c r="D132" s="2" t="s">
        <v>30</v>
      </c>
      <c r="E132" s="2" t="s">
        <v>47</v>
      </c>
      <c r="F132" s="2" t="s">
        <v>41</v>
      </c>
      <c r="G132" s="2">
        <v>67</v>
      </c>
      <c r="H132" s="2">
        <v>52400</v>
      </c>
      <c r="I132" s="4">
        <f t="shared" si="4"/>
        <v>3510800</v>
      </c>
      <c r="J132" s="2" t="s">
        <v>32</v>
      </c>
      <c r="K132" s="2" t="s">
        <v>19</v>
      </c>
      <c r="L132" s="2" t="s">
        <v>43</v>
      </c>
      <c r="M132" s="5">
        <v>1.8599999999999998E-2</v>
      </c>
      <c r="N132" s="4">
        <f t="shared" si="5"/>
        <v>65300.88</v>
      </c>
    </row>
    <row r="133" spans="1:14" x14ac:dyDescent="0.3">
      <c r="A133" s="6" t="s">
        <v>187</v>
      </c>
      <c r="B133" s="7">
        <v>45842</v>
      </c>
      <c r="C133" s="6" t="s">
        <v>34</v>
      </c>
      <c r="D133" s="6" t="s">
        <v>16</v>
      </c>
      <c r="E133" s="6" t="s">
        <v>50</v>
      </c>
      <c r="F133" s="6">
        <v>5</v>
      </c>
      <c r="G133" s="6">
        <v>106</v>
      </c>
      <c r="H133" s="6">
        <v>28830</v>
      </c>
      <c r="I133" s="8">
        <f t="shared" si="4"/>
        <v>3055980</v>
      </c>
      <c r="J133" s="6" t="s">
        <v>42</v>
      </c>
      <c r="K133" s="6" t="s">
        <v>19</v>
      </c>
      <c r="L133" s="6" t="s">
        <v>43</v>
      </c>
      <c r="M133" s="9">
        <v>1.23E-2</v>
      </c>
      <c r="N133" s="8">
        <f t="shared" si="5"/>
        <v>37588.554000000004</v>
      </c>
    </row>
    <row r="134" spans="1:14" x14ac:dyDescent="0.3">
      <c r="A134" s="2" t="s">
        <v>188</v>
      </c>
      <c r="B134" s="3">
        <v>45843</v>
      </c>
      <c r="C134" s="2" t="s">
        <v>70</v>
      </c>
      <c r="D134" s="2" t="s">
        <v>46</v>
      </c>
      <c r="E134" s="2" t="s">
        <v>50</v>
      </c>
      <c r="F134" s="2">
        <v>3</v>
      </c>
      <c r="G134" s="2">
        <v>85</v>
      </c>
      <c r="H134" s="2">
        <v>31280</v>
      </c>
      <c r="I134" s="4">
        <f t="shared" si="4"/>
        <v>2658800</v>
      </c>
      <c r="J134" s="2" t="s">
        <v>36</v>
      </c>
      <c r="K134" s="2" t="s">
        <v>19</v>
      </c>
      <c r="L134" s="2" t="s">
        <v>43</v>
      </c>
      <c r="M134" s="5">
        <v>2.0799999999999999E-2</v>
      </c>
      <c r="N134" s="4">
        <f t="shared" si="5"/>
        <v>55303.040000000001</v>
      </c>
    </row>
    <row r="135" spans="1:14" x14ac:dyDescent="0.3">
      <c r="A135" s="6" t="s">
        <v>189</v>
      </c>
      <c r="B135" s="7">
        <v>45844</v>
      </c>
      <c r="C135" s="6" t="s">
        <v>57</v>
      </c>
      <c r="D135" s="6" t="s">
        <v>101</v>
      </c>
      <c r="E135" s="6" t="s">
        <v>31</v>
      </c>
      <c r="F135" s="6">
        <v>3</v>
      </c>
      <c r="G135" s="6">
        <v>273</v>
      </c>
      <c r="H135" s="6">
        <v>34670</v>
      </c>
      <c r="I135" s="8">
        <f t="shared" si="4"/>
        <v>9464910</v>
      </c>
      <c r="J135" s="6" t="s">
        <v>58</v>
      </c>
      <c r="K135" s="6" t="s">
        <v>19</v>
      </c>
      <c r="L135" s="6" t="s">
        <v>20</v>
      </c>
      <c r="M135" s="9">
        <v>1.8499999999999999E-2</v>
      </c>
      <c r="N135" s="8">
        <f t="shared" si="5"/>
        <v>175100.83499999999</v>
      </c>
    </row>
    <row r="136" spans="1:14" x14ac:dyDescent="0.3">
      <c r="A136" s="2" t="s">
        <v>190</v>
      </c>
      <c r="B136" s="3">
        <v>45846</v>
      </c>
      <c r="C136" s="2" t="s">
        <v>57</v>
      </c>
      <c r="D136" s="2" t="s">
        <v>101</v>
      </c>
      <c r="E136" s="2" t="s">
        <v>17</v>
      </c>
      <c r="F136" s="2">
        <v>3</v>
      </c>
      <c r="G136" s="2">
        <v>111</v>
      </c>
      <c r="H136" s="2">
        <v>36770</v>
      </c>
      <c r="I136" s="4">
        <f t="shared" si="4"/>
        <v>4081470</v>
      </c>
      <c r="J136" s="2" t="s">
        <v>55</v>
      </c>
      <c r="K136" s="2" t="s">
        <v>25</v>
      </c>
      <c r="L136" s="2" t="s">
        <v>43</v>
      </c>
      <c r="M136" s="5">
        <v>1.15E-2</v>
      </c>
      <c r="N136" s="4">
        <f t="shared" si="5"/>
        <v>46936.904999999999</v>
      </c>
    </row>
    <row r="137" spans="1:14" x14ac:dyDescent="0.3">
      <c r="A137" s="6" t="s">
        <v>191</v>
      </c>
      <c r="B137" s="7">
        <v>45856</v>
      </c>
      <c r="C137" s="6" t="s">
        <v>57</v>
      </c>
      <c r="D137" s="6" t="s">
        <v>30</v>
      </c>
      <c r="E137" s="6" t="s">
        <v>50</v>
      </c>
      <c r="F137" s="6">
        <v>2</v>
      </c>
      <c r="G137" s="6">
        <v>87</v>
      </c>
      <c r="H137" s="6">
        <v>36340</v>
      </c>
      <c r="I137" s="8">
        <f t="shared" si="4"/>
        <v>3161580</v>
      </c>
      <c r="J137" s="6" t="s">
        <v>28</v>
      </c>
      <c r="K137" s="6" t="s">
        <v>67</v>
      </c>
      <c r="L137" s="6" t="s">
        <v>43</v>
      </c>
      <c r="M137" s="9">
        <v>1.23E-2</v>
      </c>
      <c r="N137" s="8">
        <f t="shared" si="5"/>
        <v>38887.434000000001</v>
      </c>
    </row>
    <row r="138" spans="1:14" x14ac:dyDescent="0.3">
      <c r="A138" s="2" t="s">
        <v>192</v>
      </c>
      <c r="B138" s="3">
        <v>45856</v>
      </c>
      <c r="C138" s="2" t="s">
        <v>34</v>
      </c>
      <c r="D138" s="2" t="s">
        <v>101</v>
      </c>
      <c r="E138" s="2" t="s">
        <v>17</v>
      </c>
      <c r="F138" s="2">
        <v>5</v>
      </c>
      <c r="G138" s="2">
        <v>96</v>
      </c>
      <c r="H138" s="2">
        <v>27650</v>
      </c>
      <c r="I138" s="4">
        <f t="shared" si="4"/>
        <v>2654400</v>
      </c>
      <c r="J138" s="2" t="s">
        <v>53</v>
      </c>
      <c r="K138" s="2" t="s">
        <v>19</v>
      </c>
      <c r="L138" s="2" t="s">
        <v>43</v>
      </c>
      <c r="M138" s="5">
        <v>1.61E-2</v>
      </c>
      <c r="N138" s="4">
        <f t="shared" si="5"/>
        <v>42735.839999999997</v>
      </c>
    </row>
    <row r="139" spans="1:14" x14ac:dyDescent="0.3">
      <c r="A139" s="6" t="s">
        <v>193</v>
      </c>
      <c r="B139" s="7">
        <v>45862</v>
      </c>
      <c r="C139" s="6" t="s">
        <v>38</v>
      </c>
      <c r="D139" s="6" t="s">
        <v>35</v>
      </c>
      <c r="E139" s="6" t="s">
        <v>50</v>
      </c>
      <c r="F139" s="6">
        <v>4</v>
      </c>
      <c r="G139" s="6">
        <v>81</v>
      </c>
      <c r="H139" s="6">
        <v>27790</v>
      </c>
      <c r="I139" s="8">
        <f t="shared" si="4"/>
        <v>2250990</v>
      </c>
      <c r="J139" s="6" t="s">
        <v>73</v>
      </c>
      <c r="K139" s="6" t="s">
        <v>19</v>
      </c>
      <c r="L139" s="6" t="s">
        <v>43</v>
      </c>
      <c r="M139" s="9">
        <v>1.8800000000000001E-2</v>
      </c>
      <c r="N139" s="8">
        <f t="shared" si="5"/>
        <v>42318.612000000001</v>
      </c>
    </row>
    <row r="140" spans="1:14" x14ac:dyDescent="0.3">
      <c r="A140" s="2" t="s">
        <v>194</v>
      </c>
      <c r="B140" s="3">
        <v>45869</v>
      </c>
      <c r="C140" s="2" t="s">
        <v>15</v>
      </c>
      <c r="D140" s="2" t="s">
        <v>101</v>
      </c>
      <c r="E140" s="2" t="s">
        <v>40</v>
      </c>
      <c r="F140" s="2" t="s">
        <v>41</v>
      </c>
      <c r="G140" s="2">
        <v>149</v>
      </c>
      <c r="H140" s="2">
        <v>43360</v>
      </c>
      <c r="I140" s="4">
        <f t="shared" si="4"/>
        <v>6460640</v>
      </c>
      <c r="J140" s="2" t="s">
        <v>18</v>
      </c>
      <c r="K140" s="2" t="s">
        <v>19</v>
      </c>
      <c r="L140" s="2" t="s">
        <v>43</v>
      </c>
      <c r="M140" s="5">
        <v>1.7000000000000001E-2</v>
      </c>
      <c r="N140" s="4">
        <f t="shared" si="5"/>
        <v>109830.88</v>
      </c>
    </row>
    <row r="141" spans="1:14" x14ac:dyDescent="0.3">
      <c r="A141" s="6" t="s">
        <v>195</v>
      </c>
      <c r="B141" s="7">
        <v>45870</v>
      </c>
      <c r="C141" s="6" t="s">
        <v>70</v>
      </c>
      <c r="D141" s="6" t="s">
        <v>35</v>
      </c>
      <c r="E141" s="6" t="s">
        <v>47</v>
      </c>
      <c r="F141" s="6" t="s">
        <v>41</v>
      </c>
      <c r="G141" s="6">
        <v>63</v>
      </c>
      <c r="H141" s="6">
        <v>49030</v>
      </c>
      <c r="I141" s="8">
        <f t="shared" si="4"/>
        <v>3088890</v>
      </c>
      <c r="J141" s="6" t="s">
        <v>55</v>
      </c>
      <c r="K141" s="6" t="s">
        <v>19</v>
      </c>
      <c r="L141" s="6" t="s">
        <v>20</v>
      </c>
      <c r="M141" s="9">
        <v>2.35E-2</v>
      </c>
      <c r="N141" s="8">
        <f t="shared" si="5"/>
        <v>72588.914999999994</v>
      </c>
    </row>
    <row r="142" spans="1:14" x14ac:dyDescent="0.3">
      <c r="A142" s="2" t="s">
        <v>196</v>
      </c>
      <c r="B142" s="3">
        <v>45874</v>
      </c>
      <c r="C142" s="2" t="s">
        <v>22</v>
      </c>
      <c r="D142" s="2" t="s">
        <v>63</v>
      </c>
      <c r="E142" s="2" t="s">
        <v>17</v>
      </c>
      <c r="F142" s="2">
        <v>4</v>
      </c>
      <c r="G142" s="2">
        <v>132</v>
      </c>
      <c r="H142" s="2">
        <v>43320</v>
      </c>
      <c r="I142" s="4">
        <f t="shared" si="4"/>
        <v>5718240</v>
      </c>
      <c r="J142" s="2" t="s">
        <v>58</v>
      </c>
      <c r="K142" s="2" t="s">
        <v>19</v>
      </c>
      <c r="L142" s="2" t="s">
        <v>43</v>
      </c>
      <c r="M142" s="5">
        <v>1.12E-2</v>
      </c>
      <c r="N142" s="4">
        <f t="shared" si="5"/>
        <v>64044.288</v>
      </c>
    </row>
    <row r="143" spans="1:14" x14ac:dyDescent="0.3">
      <c r="A143" s="6" t="s">
        <v>197</v>
      </c>
      <c r="B143" s="7">
        <v>45875</v>
      </c>
      <c r="C143" s="6" t="s">
        <v>70</v>
      </c>
      <c r="D143" s="6" t="s">
        <v>101</v>
      </c>
      <c r="E143" s="6" t="s">
        <v>47</v>
      </c>
      <c r="F143" s="6" t="s">
        <v>41</v>
      </c>
      <c r="G143" s="6">
        <v>44</v>
      </c>
      <c r="H143" s="6">
        <v>47510</v>
      </c>
      <c r="I143" s="8">
        <f t="shared" si="4"/>
        <v>2090440</v>
      </c>
      <c r="J143" s="6" t="s">
        <v>18</v>
      </c>
      <c r="K143" s="6" t="s">
        <v>19</v>
      </c>
      <c r="L143" s="6" t="s">
        <v>43</v>
      </c>
      <c r="M143" s="9">
        <v>2.4E-2</v>
      </c>
      <c r="N143" s="8">
        <f t="shared" si="5"/>
        <v>50170.559999999998</v>
      </c>
    </row>
    <row r="144" spans="1:14" x14ac:dyDescent="0.3">
      <c r="A144" s="2" t="s">
        <v>198</v>
      </c>
      <c r="B144" s="3">
        <v>45877</v>
      </c>
      <c r="C144" s="2" t="s">
        <v>45</v>
      </c>
      <c r="D144" s="2" t="s">
        <v>101</v>
      </c>
      <c r="E144" s="2" t="s">
        <v>40</v>
      </c>
      <c r="F144" s="2" t="s">
        <v>41</v>
      </c>
      <c r="G144" s="2">
        <v>64</v>
      </c>
      <c r="H144" s="2">
        <v>49960</v>
      </c>
      <c r="I144" s="4">
        <f t="shared" si="4"/>
        <v>3197440</v>
      </c>
      <c r="J144" s="2" t="s">
        <v>42</v>
      </c>
      <c r="K144" s="2" t="s">
        <v>19</v>
      </c>
      <c r="L144" s="2" t="s">
        <v>43</v>
      </c>
      <c r="M144" s="5">
        <v>1.72E-2</v>
      </c>
      <c r="N144" s="4">
        <f t="shared" si="5"/>
        <v>54995.968000000001</v>
      </c>
    </row>
    <row r="145" spans="1:14" x14ac:dyDescent="0.3">
      <c r="A145" s="6" t="s">
        <v>199</v>
      </c>
      <c r="B145" s="7">
        <v>45879</v>
      </c>
      <c r="C145" s="6" t="s">
        <v>70</v>
      </c>
      <c r="D145" s="6" t="s">
        <v>16</v>
      </c>
      <c r="E145" s="6" t="s">
        <v>47</v>
      </c>
      <c r="F145" s="6" t="s">
        <v>41</v>
      </c>
      <c r="G145" s="6">
        <v>147</v>
      </c>
      <c r="H145" s="6">
        <v>55890</v>
      </c>
      <c r="I145" s="8">
        <f t="shared" si="4"/>
        <v>8215830</v>
      </c>
      <c r="J145" s="6" t="s">
        <v>36</v>
      </c>
      <c r="K145" s="6" t="s">
        <v>19</v>
      </c>
      <c r="L145" s="6" t="s">
        <v>43</v>
      </c>
      <c r="M145" s="9">
        <v>1.9099999999999999E-2</v>
      </c>
      <c r="N145" s="8">
        <f t="shared" si="5"/>
        <v>156922.353</v>
      </c>
    </row>
    <row r="146" spans="1:14" x14ac:dyDescent="0.3">
      <c r="A146" s="2" t="s">
        <v>200</v>
      </c>
      <c r="B146" s="3">
        <v>45880</v>
      </c>
      <c r="C146" s="2" t="s">
        <v>27</v>
      </c>
      <c r="D146" s="2" t="s">
        <v>23</v>
      </c>
      <c r="E146" s="2" t="s">
        <v>31</v>
      </c>
      <c r="F146" s="2">
        <v>5</v>
      </c>
      <c r="G146" s="2">
        <v>296</v>
      </c>
      <c r="H146" s="2">
        <v>38960</v>
      </c>
      <c r="I146" s="4">
        <f t="shared" si="4"/>
        <v>11532160</v>
      </c>
      <c r="J146" s="2" t="s">
        <v>42</v>
      </c>
      <c r="K146" s="2" t="s">
        <v>19</v>
      </c>
      <c r="L146" s="2" t="s">
        <v>43</v>
      </c>
      <c r="M146" s="5">
        <v>2.1700000000000001E-2</v>
      </c>
      <c r="N146" s="4">
        <f t="shared" si="5"/>
        <v>250247.872</v>
      </c>
    </row>
    <row r="147" spans="1:14" x14ac:dyDescent="0.3">
      <c r="A147" s="6" t="s">
        <v>201</v>
      </c>
      <c r="B147" s="7">
        <v>45887</v>
      </c>
      <c r="C147" s="6" t="s">
        <v>38</v>
      </c>
      <c r="D147" s="6" t="s">
        <v>23</v>
      </c>
      <c r="E147" s="6" t="s">
        <v>17</v>
      </c>
      <c r="F147" s="6">
        <v>5</v>
      </c>
      <c r="G147" s="6">
        <v>122</v>
      </c>
      <c r="H147" s="6">
        <v>28650</v>
      </c>
      <c r="I147" s="8">
        <f t="shared" si="4"/>
        <v>3495300</v>
      </c>
      <c r="J147" s="6" t="s">
        <v>64</v>
      </c>
      <c r="K147" s="6" t="s">
        <v>25</v>
      </c>
      <c r="L147" s="6" t="s">
        <v>43</v>
      </c>
      <c r="M147" s="9">
        <v>2.47E-2</v>
      </c>
      <c r="N147" s="8">
        <f t="shared" si="5"/>
        <v>86333.91</v>
      </c>
    </row>
    <row r="148" spans="1:14" x14ac:dyDescent="0.3">
      <c r="A148" s="2" t="s">
        <v>202</v>
      </c>
      <c r="B148" s="3">
        <v>45890</v>
      </c>
      <c r="C148" s="2" t="s">
        <v>45</v>
      </c>
      <c r="D148" s="2" t="s">
        <v>101</v>
      </c>
      <c r="E148" s="2" t="s">
        <v>50</v>
      </c>
      <c r="F148" s="2">
        <v>3</v>
      </c>
      <c r="G148" s="2">
        <v>105</v>
      </c>
      <c r="H148" s="2">
        <v>34930</v>
      </c>
      <c r="I148" s="4">
        <f t="shared" si="4"/>
        <v>3667650</v>
      </c>
      <c r="J148" s="2" t="s">
        <v>42</v>
      </c>
      <c r="K148" s="2" t="s">
        <v>19</v>
      </c>
      <c r="L148" s="2" t="s">
        <v>43</v>
      </c>
      <c r="M148" s="5">
        <v>2.29E-2</v>
      </c>
      <c r="N148" s="4">
        <f t="shared" si="5"/>
        <v>83989.184999999998</v>
      </c>
    </row>
    <row r="149" spans="1:14" x14ac:dyDescent="0.3">
      <c r="A149" s="6" t="s">
        <v>203</v>
      </c>
      <c r="B149" s="7">
        <v>45892</v>
      </c>
      <c r="C149" s="6" t="s">
        <v>38</v>
      </c>
      <c r="D149" s="6" t="s">
        <v>35</v>
      </c>
      <c r="E149" s="6" t="s">
        <v>50</v>
      </c>
      <c r="F149" s="6">
        <v>4</v>
      </c>
      <c r="G149" s="6">
        <v>105</v>
      </c>
      <c r="H149" s="6">
        <v>28570</v>
      </c>
      <c r="I149" s="8">
        <f t="shared" si="4"/>
        <v>2999850</v>
      </c>
      <c r="J149" s="6" t="s">
        <v>53</v>
      </c>
      <c r="K149" s="6" t="s">
        <v>19</v>
      </c>
      <c r="L149" s="6" t="s">
        <v>20</v>
      </c>
      <c r="M149" s="9">
        <v>1.47E-2</v>
      </c>
      <c r="N149" s="8">
        <f t="shared" si="5"/>
        <v>44097.794999999998</v>
      </c>
    </row>
    <row r="150" spans="1:14" x14ac:dyDescent="0.3">
      <c r="A150" s="2" t="s">
        <v>204</v>
      </c>
      <c r="B150" s="3">
        <v>45896</v>
      </c>
      <c r="C150" s="2" t="s">
        <v>45</v>
      </c>
      <c r="D150" s="2" t="s">
        <v>49</v>
      </c>
      <c r="E150" s="2" t="s">
        <v>17</v>
      </c>
      <c r="F150" s="2">
        <v>4</v>
      </c>
      <c r="G150" s="2">
        <v>98</v>
      </c>
      <c r="H150" s="2">
        <v>31960</v>
      </c>
      <c r="I150" s="4">
        <f t="shared" si="4"/>
        <v>3132080</v>
      </c>
      <c r="J150" s="2" t="s">
        <v>61</v>
      </c>
      <c r="K150" s="2" t="s">
        <v>19</v>
      </c>
      <c r="L150" s="2" t="s">
        <v>43</v>
      </c>
      <c r="M150" s="5">
        <v>2.0500000000000001E-2</v>
      </c>
      <c r="N150" s="4">
        <f t="shared" si="5"/>
        <v>64207.64</v>
      </c>
    </row>
    <row r="151" spans="1:14" x14ac:dyDescent="0.3">
      <c r="A151" s="6" t="s">
        <v>205</v>
      </c>
      <c r="B151" s="7">
        <v>45898</v>
      </c>
      <c r="C151" s="6" t="s">
        <v>57</v>
      </c>
      <c r="D151" s="6" t="s">
        <v>35</v>
      </c>
      <c r="E151" s="6" t="s">
        <v>40</v>
      </c>
      <c r="F151" s="6" t="s">
        <v>41</v>
      </c>
      <c r="G151" s="6">
        <v>120</v>
      </c>
      <c r="H151" s="6">
        <v>51810</v>
      </c>
      <c r="I151" s="8">
        <f t="shared" si="4"/>
        <v>6217200</v>
      </c>
      <c r="J151" s="6" t="s">
        <v>64</v>
      </c>
      <c r="K151" s="6" t="s">
        <v>19</v>
      </c>
      <c r="L151" s="6" t="s">
        <v>43</v>
      </c>
      <c r="M151" s="9">
        <v>1.32E-2</v>
      </c>
      <c r="N151" s="8">
        <f t="shared" si="5"/>
        <v>82067.039999999994</v>
      </c>
    </row>
    <row r="152" spans="1:14" x14ac:dyDescent="0.3">
      <c r="A152" s="2" t="s">
        <v>206</v>
      </c>
      <c r="B152" s="3">
        <v>45903</v>
      </c>
      <c r="C152" s="2" t="s">
        <v>45</v>
      </c>
      <c r="D152" s="2" t="s">
        <v>23</v>
      </c>
      <c r="E152" s="2" t="s">
        <v>24</v>
      </c>
      <c r="F152" s="2">
        <v>4</v>
      </c>
      <c r="G152" s="2">
        <v>295</v>
      </c>
      <c r="H152" s="2">
        <v>40410</v>
      </c>
      <c r="I152" s="4">
        <f t="shared" si="4"/>
        <v>11920950</v>
      </c>
      <c r="J152" s="2" t="s">
        <v>64</v>
      </c>
      <c r="K152" s="2" t="s">
        <v>25</v>
      </c>
      <c r="L152" s="2" t="s">
        <v>20</v>
      </c>
      <c r="M152" s="5">
        <v>1.55E-2</v>
      </c>
      <c r="N152" s="4">
        <f t="shared" si="5"/>
        <v>184774.72500000001</v>
      </c>
    </row>
    <row r="153" spans="1:14" x14ac:dyDescent="0.3">
      <c r="A153" s="6" t="s">
        <v>207</v>
      </c>
      <c r="B153" s="7">
        <v>45911</v>
      </c>
      <c r="C153" s="6" t="s">
        <v>34</v>
      </c>
      <c r="D153" s="6" t="s">
        <v>52</v>
      </c>
      <c r="E153" s="6" t="s">
        <v>17</v>
      </c>
      <c r="F153" s="6">
        <v>4</v>
      </c>
      <c r="G153" s="6">
        <v>148</v>
      </c>
      <c r="H153" s="6">
        <v>30580</v>
      </c>
      <c r="I153" s="8">
        <f t="shared" si="4"/>
        <v>4525840</v>
      </c>
      <c r="J153" s="6" t="s">
        <v>66</v>
      </c>
      <c r="K153" s="6" t="s">
        <v>25</v>
      </c>
      <c r="L153" s="6" t="s">
        <v>43</v>
      </c>
      <c r="M153" s="9">
        <v>1.1900000000000001E-2</v>
      </c>
      <c r="N153" s="8">
        <f t="shared" si="5"/>
        <v>53857.496000000006</v>
      </c>
    </row>
    <row r="154" spans="1:14" x14ac:dyDescent="0.3">
      <c r="A154" s="2" t="s">
        <v>208</v>
      </c>
      <c r="B154" s="3">
        <v>45911</v>
      </c>
      <c r="C154" s="2" t="s">
        <v>38</v>
      </c>
      <c r="D154" s="2" t="s">
        <v>101</v>
      </c>
      <c r="E154" s="2" t="s">
        <v>17</v>
      </c>
      <c r="F154" s="2">
        <v>2</v>
      </c>
      <c r="G154" s="2">
        <v>164</v>
      </c>
      <c r="H154" s="2">
        <v>26640</v>
      </c>
      <c r="I154" s="4">
        <f t="shared" si="4"/>
        <v>4368960</v>
      </c>
      <c r="J154" s="2" t="s">
        <v>18</v>
      </c>
      <c r="K154" s="2" t="s">
        <v>25</v>
      </c>
      <c r="L154" s="2" t="s">
        <v>20</v>
      </c>
      <c r="M154" s="5">
        <v>1.32E-2</v>
      </c>
      <c r="N154" s="4">
        <f t="shared" si="5"/>
        <v>57670.271999999997</v>
      </c>
    </row>
    <row r="155" spans="1:14" x14ac:dyDescent="0.3">
      <c r="A155" s="6" t="s">
        <v>209</v>
      </c>
      <c r="B155" s="7">
        <v>45922</v>
      </c>
      <c r="C155" s="6" t="s">
        <v>57</v>
      </c>
      <c r="D155" s="6" t="s">
        <v>35</v>
      </c>
      <c r="E155" s="6" t="s">
        <v>17</v>
      </c>
      <c r="F155" s="6">
        <v>4</v>
      </c>
      <c r="G155" s="6">
        <v>113</v>
      </c>
      <c r="H155" s="6">
        <v>37930</v>
      </c>
      <c r="I155" s="8">
        <f t="shared" si="4"/>
        <v>4286090</v>
      </c>
      <c r="J155" s="6" t="s">
        <v>53</v>
      </c>
      <c r="K155" s="6" t="s">
        <v>19</v>
      </c>
      <c r="L155" s="6" t="s">
        <v>43</v>
      </c>
      <c r="M155" s="9">
        <v>2.1600000000000001E-2</v>
      </c>
      <c r="N155" s="8">
        <f t="shared" si="5"/>
        <v>92579.544000000009</v>
      </c>
    </row>
    <row r="156" spans="1:14" x14ac:dyDescent="0.3">
      <c r="A156" s="2" t="s">
        <v>210</v>
      </c>
      <c r="B156" s="3">
        <v>45924</v>
      </c>
      <c r="C156" s="2" t="s">
        <v>57</v>
      </c>
      <c r="D156" s="2" t="s">
        <v>35</v>
      </c>
      <c r="E156" s="2" t="s">
        <v>31</v>
      </c>
      <c r="F156" s="2">
        <v>4</v>
      </c>
      <c r="G156" s="2">
        <v>266</v>
      </c>
      <c r="H156" s="2">
        <v>37250</v>
      </c>
      <c r="I156" s="4">
        <f t="shared" si="4"/>
        <v>9908500</v>
      </c>
      <c r="J156" s="2" t="s">
        <v>28</v>
      </c>
      <c r="K156" s="2" t="s">
        <v>19</v>
      </c>
      <c r="L156" s="2" t="s">
        <v>20</v>
      </c>
      <c r="M156" s="5">
        <v>1.77E-2</v>
      </c>
      <c r="N156" s="4">
        <f t="shared" si="5"/>
        <v>175380.45</v>
      </c>
    </row>
    <row r="157" spans="1:14" x14ac:dyDescent="0.3">
      <c r="A157" s="6" t="s">
        <v>211</v>
      </c>
      <c r="B157" s="7">
        <v>45932</v>
      </c>
      <c r="C157" s="6" t="s">
        <v>22</v>
      </c>
      <c r="D157" s="6" t="s">
        <v>101</v>
      </c>
      <c r="E157" s="6" t="s">
        <v>47</v>
      </c>
      <c r="F157" s="6" t="s">
        <v>41</v>
      </c>
      <c r="G157" s="6">
        <v>50</v>
      </c>
      <c r="H157" s="6">
        <v>74950</v>
      </c>
      <c r="I157" s="8">
        <f t="shared" si="4"/>
        <v>3747500</v>
      </c>
      <c r="J157" s="6" t="s">
        <v>36</v>
      </c>
      <c r="K157" s="6" t="s">
        <v>67</v>
      </c>
      <c r="L157" s="6" t="s">
        <v>20</v>
      </c>
      <c r="M157" s="9">
        <v>1.9900000000000001E-2</v>
      </c>
      <c r="N157" s="8">
        <f t="shared" si="5"/>
        <v>74575.25</v>
      </c>
    </row>
    <row r="158" spans="1:14" x14ac:dyDescent="0.3">
      <c r="A158" s="2" t="s">
        <v>212</v>
      </c>
      <c r="B158" s="3">
        <v>45938</v>
      </c>
      <c r="C158" s="2" t="s">
        <v>57</v>
      </c>
      <c r="D158" s="2" t="s">
        <v>39</v>
      </c>
      <c r="E158" s="2" t="s">
        <v>17</v>
      </c>
      <c r="F158" s="2">
        <v>2</v>
      </c>
      <c r="G158" s="2">
        <v>171</v>
      </c>
      <c r="H158" s="2">
        <v>38120</v>
      </c>
      <c r="I158" s="4">
        <f t="shared" si="4"/>
        <v>6518520</v>
      </c>
      <c r="J158" s="2" t="s">
        <v>42</v>
      </c>
      <c r="K158" s="2" t="s">
        <v>19</v>
      </c>
      <c r="L158" s="2" t="s">
        <v>43</v>
      </c>
      <c r="M158" s="5">
        <v>1.32E-2</v>
      </c>
      <c r="N158" s="4">
        <f t="shared" si="5"/>
        <v>86044.463999999993</v>
      </c>
    </row>
    <row r="159" spans="1:14" x14ac:dyDescent="0.3">
      <c r="A159" s="6" t="s">
        <v>213</v>
      </c>
      <c r="B159" s="7">
        <v>45938</v>
      </c>
      <c r="C159" s="6" t="s">
        <v>22</v>
      </c>
      <c r="D159" s="6" t="s">
        <v>52</v>
      </c>
      <c r="E159" s="6" t="s">
        <v>47</v>
      </c>
      <c r="F159" s="6" t="s">
        <v>41</v>
      </c>
      <c r="G159" s="6">
        <v>46</v>
      </c>
      <c r="H159" s="6">
        <v>72840</v>
      </c>
      <c r="I159" s="8">
        <f t="shared" si="4"/>
        <v>3350640</v>
      </c>
      <c r="J159" s="6" t="s">
        <v>58</v>
      </c>
      <c r="K159" s="6" t="s">
        <v>19</v>
      </c>
      <c r="L159" s="6" t="s">
        <v>20</v>
      </c>
      <c r="M159" s="9">
        <v>1.55E-2</v>
      </c>
      <c r="N159" s="8">
        <f t="shared" si="5"/>
        <v>51934.92</v>
      </c>
    </row>
    <row r="160" spans="1:14" x14ac:dyDescent="0.3">
      <c r="A160" s="2" t="s">
        <v>214</v>
      </c>
      <c r="B160" s="3">
        <v>45940</v>
      </c>
      <c r="C160" s="2" t="s">
        <v>38</v>
      </c>
      <c r="D160" s="2" t="s">
        <v>35</v>
      </c>
      <c r="E160" s="2" t="s">
        <v>24</v>
      </c>
      <c r="F160" s="2">
        <v>3</v>
      </c>
      <c r="G160" s="2">
        <v>418</v>
      </c>
      <c r="H160" s="2">
        <v>31900</v>
      </c>
      <c r="I160" s="4">
        <f t="shared" si="4"/>
        <v>13334200</v>
      </c>
      <c r="J160" s="2" t="s">
        <v>64</v>
      </c>
      <c r="K160" s="2" t="s">
        <v>19</v>
      </c>
      <c r="L160" s="2" t="s">
        <v>20</v>
      </c>
      <c r="M160" s="5">
        <v>1.7100000000000001E-2</v>
      </c>
      <c r="N160" s="4">
        <f t="shared" si="5"/>
        <v>228014.82</v>
      </c>
    </row>
    <row r="161" spans="1:14" x14ac:dyDescent="0.3">
      <c r="A161" s="6" t="s">
        <v>215</v>
      </c>
      <c r="B161" s="7">
        <v>45940</v>
      </c>
      <c r="C161" s="6" t="s">
        <v>27</v>
      </c>
      <c r="D161" s="6" t="s">
        <v>63</v>
      </c>
      <c r="E161" s="6" t="s">
        <v>24</v>
      </c>
      <c r="F161" s="6">
        <v>2</v>
      </c>
      <c r="G161" s="6">
        <v>424</v>
      </c>
      <c r="H161" s="6">
        <v>45710</v>
      </c>
      <c r="I161" s="8">
        <f t="shared" si="4"/>
        <v>19381040</v>
      </c>
      <c r="J161" s="6" t="s">
        <v>73</v>
      </c>
      <c r="K161" s="6" t="s">
        <v>25</v>
      </c>
      <c r="L161" s="6" t="s">
        <v>20</v>
      </c>
      <c r="M161" s="9">
        <v>1.5599999999999999E-2</v>
      </c>
      <c r="N161" s="8">
        <f t="shared" si="5"/>
        <v>302344.22399999999</v>
      </c>
    </row>
    <row r="162" spans="1:14" x14ac:dyDescent="0.3">
      <c r="A162" s="2" t="s">
        <v>216</v>
      </c>
      <c r="B162" s="3">
        <v>45942</v>
      </c>
      <c r="C162" s="2" t="s">
        <v>15</v>
      </c>
      <c r="D162" s="2" t="s">
        <v>52</v>
      </c>
      <c r="E162" s="2" t="s">
        <v>40</v>
      </c>
      <c r="F162" s="2" t="s">
        <v>41</v>
      </c>
      <c r="G162" s="2">
        <v>117</v>
      </c>
      <c r="H162" s="2">
        <v>38910</v>
      </c>
      <c r="I162" s="4">
        <f t="shared" si="4"/>
        <v>4552470</v>
      </c>
      <c r="J162" s="2" t="s">
        <v>61</v>
      </c>
      <c r="K162" s="2" t="s">
        <v>19</v>
      </c>
      <c r="L162" s="2" t="s">
        <v>43</v>
      </c>
      <c r="M162" s="5">
        <v>1.15E-2</v>
      </c>
      <c r="N162" s="4">
        <f t="shared" si="5"/>
        <v>52353.404999999999</v>
      </c>
    </row>
    <row r="163" spans="1:14" x14ac:dyDescent="0.3">
      <c r="A163" s="6" t="s">
        <v>217</v>
      </c>
      <c r="B163" s="7">
        <v>45942</v>
      </c>
      <c r="C163" s="6" t="s">
        <v>45</v>
      </c>
      <c r="D163" s="6" t="s">
        <v>46</v>
      </c>
      <c r="E163" s="6" t="s">
        <v>31</v>
      </c>
      <c r="F163" s="6">
        <v>2</v>
      </c>
      <c r="G163" s="6">
        <v>312</v>
      </c>
      <c r="H163" s="6">
        <v>35230</v>
      </c>
      <c r="I163" s="8">
        <f t="shared" si="4"/>
        <v>10991760</v>
      </c>
      <c r="J163" s="6" t="s">
        <v>73</v>
      </c>
      <c r="K163" s="6" t="s">
        <v>19</v>
      </c>
      <c r="L163" s="6" t="s">
        <v>43</v>
      </c>
      <c r="M163" s="9">
        <v>1.1599999999999999E-2</v>
      </c>
      <c r="N163" s="8">
        <f t="shared" si="5"/>
        <v>127504.416</v>
      </c>
    </row>
    <row r="164" spans="1:14" x14ac:dyDescent="0.3">
      <c r="A164" s="2" t="s">
        <v>218</v>
      </c>
      <c r="B164" s="3">
        <v>45945</v>
      </c>
      <c r="C164" s="2" t="s">
        <v>38</v>
      </c>
      <c r="D164" s="2" t="s">
        <v>35</v>
      </c>
      <c r="E164" s="2" t="s">
        <v>40</v>
      </c>
      <c r="F164" s="2" t="s">
        <v>41</v>
      </c>
      <c r="G164" s="2">
        <v>93</v>
      </c>
      <c r="H164" s="2">
        <v>36130</v>
      </c>
      <c r="I164" s="4">
        <f t="shared" si="4"/>
        <v>3360090</v>
      </c>
      <c r="J164" s="2" t="s">
        <v>42</v>
      </c>
      <c r="K164" s="2" t="s">
        <v>19</v>
      </c>
      <c r="L164" s="2" t="s">
        <v>43</v>
      </c>
      <c r="M164" s="5">
        <v>1.9699999999999999E-2</v>
      </c>
      <c r="N164" s="4">
        <f t="shared" si="5"/>
        <v>66193.773000000001</v>
      </c>
    </row>
    <row r="165" spans="1:14" x14ac:dyDescent="0.3">
      <c r="A165" s="6" t="s">
        <v>219</v>
      </c>
      <c r="B165" s="7">
        <v>45946</v>
      </c>
      <c r="C165" s="6" t="s">
        <v>27</v>
      </c>
      <c r="D165" s="6" t="s">
        <v>49</v>
      </c>
      <c r="E165" s="6" t="s">
        <v>40</v>
      </c>
      <c r="F165" s="6" t="s">
        <v>41</v>
      </c>
      <c r="G165" s="6">
        <v>99</v>
      </c>
      <c r="H165" s="6">
        <v>46890</v>
      </c>
      <c r="I165" s="8">
        <f t="shared" si="4"/>
        <v>4642110</v>
      </c>
      <c r="J165" s="6" t="s">
        <v>53</v>
      </c>
      <c r="K165" s="6" t="s">
        <v>19</v>
      </c>
      <c r="L165" s="6" t="s">
        <v>43</v>
      </c>
      <c r="M165" s="9">
        <v>1.8200000000000001E-2</v>
      </c>
      <c r="N165" s="8">
        <f t="shared" si="5"/>
        <v>84486.402000000002</v>
      </c>
    </row>
    <row r="166" spans="1:14" x14ac:dyDescent="0.3">
      <c r="A166" s="2" t="s">
        <v>220</v>
      </c>
      <c r="B166" s="3">
        <v>45947</v>
      </c>
      <c r="C166" s="2" t="s">
        <v>34</v>
      </c>
      <c r="D166" s="2" t="s">
        <v>23</v>
      </c>
      <c r="E166" s="2" t="s">
        <v>50</v>
      </c>
      <c r="F166" s="2">
        <v>2</v>
      </c>
      <c r="G166" s="2">
        <v>115</v>
      </c>
      <c r="H166" s="2">
        <v>28370</v>
      </c>
      <c r="I166" s="4">
        <f t="shared" si="4"/>
        <v>3262550</v>
      </c>
      <c r="J166" s="2" t="s">
        <v>42</v>
      </c>
      <c r="K166" s="2" t="s">
        <v>19</v>
      </c>
      <c r="L166" s="2" t="s">
        <v>20</v>
      </c>
      <c r="M166" s="5">
        <v>1.4800000000000001E-2</v>
      </c>
      <c r="N166" s="4">
        <f t="shared" si="5"/>
        <v>48285.740000000005</v>
      </c>
    </row>
    <row r="167" spans="1:14" x14ac:dyDescent="0.3">
      <c r="A167" s="6" t="s">
        <v>221</v>
      </c>
      <c r="B167" s="7">
        <v>45950</v>
      </c>
      <c r="C167" s="6" t="s">
        <v>38</v>
      </c>
      <c r="D167" s="6" t="s">
        <v>23</v>
      </c>
      <c r="E167" s="6" t="s">
        <v>40</v>
      </c>
      <c r="F167" s="6" t="s">
        <v>41</v>
      </c>
      <c r="G167" s="6">
        <v>158</v>
      </c>
      <c r="H167" s="6">
        <v>44220</v>
      </c>
      <c r="I167" s="8">
        <f t="shared" si="4"/>
        <v>6986760</v>
      </c>
      <c r="J167" s="6" t="s">
        <v>18</v>
      </c>
      <c r="K167" s="6" t="s">
        <v>67</v>
      </c>
      <c r="L167" s="6" t="s">
        <v>20</v>
      </c>
      <c r="M167" s="9">
        <v>2.01E-2</v>
      </c>
      <c r="N167" s="8">
        <f t="shared" si="5"/>
        <v>140433.87599999999</v>
      </c>
    </row>
    <row r="168" spans="1:14" x14ac:dyDescent="0.3">
      <c r="A168" s="2" t="s">
        <v>222</v>
      </c>
      <c r="B168" s="3">
        <v>45957</v>
      </c>
      <c r="C168" s="2" t="s">
        <v>38</v>
      </c>
      <c r="D168" s="2" t="s">
        <v>23</v>
      </c>
      <c r="E168" s="2" t="s">
        <v>24</v>
      </c>
      <c r="F168" s="2">
        <v>4</v>
      </c>
      <c r="G168" s="2">
        <v>260</v>
      </c>
      <c r="H168" s="2">
        <v>37020</v>
      </c>
      <c r="I168" s="4">
        <f t="shared" si="4"/>
        <v>9625200</v>
      </c>
      <c r="J168" s="2" t="s">
        <v>53</v>
      </c>
      <c r="K168" s="2" t="s">
        <v>25</v>
      </c>
      <c r="L168" s="2" t="s">
        <v>43</v>
      </c>
      <c r="M168" s="5">
        <v>1.7000000000000001E-2</v>
      </c>
      <c r="N168" s="4">
        <f t="shared" si="5"/>
        <v>163628.40000000002</v>
      </c>
    </row>
    <row r="169" spans="1:14" x14ac:dyDescent="0.3">
      <c r="A169" s="6" t="s">
        <v>223</v>
      </c>
      <c r="B169" s="7">
        <v>45965</v>
      </c>
      <c r="C169" s="6" t="s">
        <v>22</v>
      </c>
      <c r="D169" s="6" t="s">
        <v>49</v>
      </c>
      <c r="E169" s="6" t="s">
        <v>24</v>
      </c>
      <c r="F169" s="6">
        <v>3</v>
      </c>
      <c r="G169" s="6">
        <v>318</v>
      </c>
      <c r="H169" s="6">
        <v>54670</v>
      </c>
      <c r="I169" s="8">
        <f t="shared" si="4"/>
        <v>17385060</v>
      </c>
      <c r="J169" s="6" t="s">
        <v>73</v>
      </c>
      <c r="K169" s="6" t="s">
        <v>19</v>
      </c>
      <c r="L169" s="6" t="s">
        <v>43</v>
      </c>
      <c r="M169" s="9">
        <v>1.8499999999999999E-2</v>
      </c>
      <c r="N169" s="8">
        <f t="shared" si="5"/>
        <v>321623.61</v>
      </c>
    </row>
    <row r="170" spans="1:14" x14ac:dyDescent="0.3">
      <c r="A170" s="2" t="s">
        <v>224</v>
      </c>
      <c r="B170" s="3">
        <v>45966</v>
      </c>
      <c r="C170" s="2" t="s">
        <v>45</v>
      </c>
      <c r="D170" s="2" t="s">
        <v>52</v>
      </c>
      <c r="E170" s="2" t="s">
        <v>17</v>
      </c>
      <c r="F170" s="2">
        <v>5</v>
      </c>
      <c r="G170" s="2">
        <v>141</v>
      </c>
      <c r="H170" s="2">
        <v>35310</v>
      </c>
      <c r="I170" s="4">
        <f t="shared" si="4"/>
        <v>4978710</v>
      </c>
      <c r="J170" s="2" t="s">
        <v>61</v>
      </c>
      <c r="K170" s="2" t="s">
        <v>67</v>
      </c>
      <c r="L170" s="2" t="s">
        <v>43</v>
      </c>
      <c r="M170" s="5">
        <v>2.2499999999999999E-2</v>
      </c>
      <c r="N170" s="4">
        <f t="shared" si="5"/>
        <v>112020.97499999999</v>
      </c>
    </row>
    <row r="171" spans="1:14" x14ac:dyDescent="0.3">
      <c r="A171" s="6" t="s">
        <v>225</v>
      </c>
      <c r="B171" s="7">
        <v>45967</v>
      </c>
      <c r="C171" s="6" t="s">
        <v>15</v>
      </c>
      <c r="D171" s="6" t="s">
        <v>23</v>
      </c>
      <c r="E171" s="6" t="s">
        <v>50</v>
      </c>
      <c r="F171" s="6">
        <v>4</v>
      </c>
      <c r="G171" s="6">
        <v>118</v>
      </c>
      <c r="H171" s="6">
        <v>27910</v>
      </c>
      <c r="I171" s="8">
        <f t="shared" si="4"/>
        <v>3293380</v>
      </c>
      <c r="J171" s="6" t="s">
        <v>42</v>
      </c>
      <c r="K171" s="6" t="s">
        <v>19</v>
      </c>
      <c r="L171" s="6" t="s">
        <v>43</v>
      </c>
      <c r="M171" s="9">
        <v>2.3E-2</v>
      </c>
      <c r="N171" s="8">
        <f t="shared" si="5"/>
        <v>75747.740000000005</v>
      </c>
    </row>
    <row r="172" spans="1:14" x14ac:dyDescent="0.3">
      <c r="A172" s="2" t="s">
        <v>226</v>
      </c>
      <c r="B172" s="3">
        <v>45969</v>
      </c>
      <c r="C172" s="2" t="s">
        <v>70</v>
      </c>
      <c r="D172" s="2" t="s">
        <v>16</v>
      </c>
      <c r="E172" s="2" t="s">
        <v>17</v>
      </c>
      <c r="F172" s="2">
        <v>3</v>
      </c>
      <c r="G172" s="2">
        <v>139</v>
      </c>
      <c r="H172" s="2">
        <v>33570</v>
      </c>
      <c r="I172" s="4">
        <f t="shared" si="4"/>
        <v>4666230</v>
      </c>
      <c r="J172" s="2" t="s">
        <v>64</v>
      </c>
      <c r="K172" s="2" t="s">
        <v>19</v>
      </c>
      <c r="L172" s="2" t="s">
        <v>20</v>
      </c>
      <c r="M172" s="5">
        <v>1.46E-2</v>
      </c>
      <c r="N172" s="4">
        <f t="shared" si="5"/>
        <v>68126.957999999999</v>
      </c>
    </row>
    <row r="173" spans="1:14" x14ac:dyDescent="0.3">
      <c r="A173" s="6" t="s">
        <v>227</v>
      </c>
      <c r="B173" s="7">
        <v>45971</v>
      </c>
      <c r="C173" s="6" t="s">
        <v>27</v>
      </c>
      <c r="D173" s="6" t="s">
        <v>23</v>
      </c>
      <c r="E173" s="6" t="s">
        <v>31</v>
      </c>
      <c r="F173" s="6">
        <v>4</v>
      </c>
      <c r="G173" s="6">
        <v>217</v>
      </c>
      <c r="H173" s="6">
        <v>36020</v>
      </c>
      <c r="I173" s="8">
        <f t="shared" si="4"/>
        <v>7816340</v>
      </c>
      <c r="J173" s="6" t="s">
        <v>64</v>
      </c>
      <c r="K173" s="6" t="s">
        <v>19</v>
      </c>
      <c r="L173" s="6" t="s">
        <v>43</v>
      </c>
      <c r="M173" s="9">
        <v>2.0799999999999999E-2</v>
      </c>
      <c r="N173" s="8">
        <f t="shared" si="5"/>
        <v>162579.872</v>
      </c>
    </row>
    <row r="174" spans="1:14" x14ac:dyDescent="0.3">
      <c r="A174" s="2" t="s">
        <v>228</v>
      </c>
      <c r="B174" s="3">
        <v>45980</v>
      </c>
      <c r="C174" s="2" t="s">
        <v>22</v>
      </c>
      <c r="D174" s="2" t="s">
        <v>101</v>
      </c>
      <c r="E174" s="2" t="s">
        <v>17</v>
      </c>
      <c r="F174" s="2">
        <v>4</v>
      </c>
      <c r="G174" s="2">
        <v>159</v>
      </c>
      <c r="H174" s="2">
        <v>42050</v>
      </c>
      <c r="I174" s="4">
        <f t="shared" si="4"/>
        <v>6685950</v>
      </c>
      <c r="J174" s="2" t="s">
        <v>18</v>
      </c>
      <c r="K174" s="2" t="s">
        <v>19</v>
      </c>
      <c r="L174" s="2" t="s">
        <v>20</v>
      </c>
      <c r="M174" s="5">
        <v>2.5000000000000001E-2</v>
      </c>
      <c r="N174" s="4">
        <f t="shared" si="5"/>
        <v>167148.75</v>
      </c>
    </row>
    <row r="175" spans="1:14" x14ac:dyDescent="0.3">
      <c r="A175" s="6" t="s">
        <v>229</v>
      </c>
      <c r="B175" s="7">
        <v>45991</v>
      </c>
      <c r="C175" s="6" t="s">
        <v>27</v>
      </c>
      <c r="D175" s="6" t="s">
        <v>101</v>
      </c>
      <c r="E175" s="6" t="s">
        <v>40</v>
      </c>
      <c r="F175" s="6" t="s">
        <v>41</v>
      </c>
      <c r="G175" s="6">
        <v>84</v>
      </c>
      <c r="H175" s="6">
        <v>52380</v>
      </c>
      <c r="I175" s="8">
        <f t="shared" si="4"/>
        <v>4399920</v>
      </c>
      <c r="J175" s="6" t="s">
        <v>64</v>
      </c>
      <c r="K175" s="6" t="s">
        <v>19</v>
      </c>
      <c r="L175" s="6" t="s">
        <v>20</v>
      </c>
      <c r="M175" s="9">
        <v>2.3900000000000001E-2</v>
      </c>
      <c r="N175" s="8">
        <f t="shared" si="5"/>
        <v>105158.088</v>
      </c>
    </row>
    <row r="176" spans="1:14" x14ac:dyDescent="0.3">
      <c r="A176" s="2" t="s">
        <v>230</v>
      </c>
      <c r="B176" s="3">
        <v>45993</v>
      </c>
      <c r="C176" s="2" t="s">
        <v>45</v>
      </c>
      <c r="D176" s="2" t="s">
        <v>52</v>
      </c>
      <c r="E176" s="2" t="s">
        <v>50</v>
      </c>
      <c r="F176" s="2">
        <v>4</v>
      </c>
      <c r="G176" s="2">
        <v>85</v>
      </c>
      <c r="H176" s="2">
        <v>28490</v>
      </c>
      <c r="I176" s="4">
        <f t="shared" si="4"/>
        <v>2421650</v>
      </c>
      <c r="J176" s="2" t="s">
        <v>32</v>
      </c>
      <c r="K176" s="2" t="s">
        <v>19</v>
      </c>
      <c r="L176" s="2" t="s">
        <v>20</v>
      </c>
      <c r="M176" s="5">
        <v>1.9099999999999999E-2</v>
      </c>
      <c r="N176" s="4">
        <f t="shared" si="5"/>
        <v>46253.514999999999</v>
      </c>
    </row>
    <row r="177" spans="1:14" x14ac:dyDescent="0.3">
      <c r="A177" s="6" t="s">
        <v>231</v>
      </c>
      <c r="B177" s="7">
        <v>45995</v>
      </c>
      <c r="C177" s="6" t="s">
        <v>15</v>
      </c>
      <c r="D177" s="6" t="s">
        <v>35</v>
      </c>
      <c r="E177" s="6" t="s">
        <v>17</v>
      </c>
      <c r="F177" s="6">
        <v>2</v>
      </c>
      <c r="G177" s="6">
        <v>165</v>
      </c>
      <c r="H177" s="6">
        <v>28350</v>
      </c>
      <c r="I177" s="8">
        <f t="shared" si="4"/>
        <v>4677750</v>
      </c>
      <c r="J177" s="6" t="s">
        <v>53</v>
      </c>
      <c r="K177" s="6" t="s">
        <v>25</v>
      </c>
      <c r="L177" s="6" t="s">
        <v>43</v>
      </c>
      <c r="M177" s="9">
        <v>1.83E-2</v>
      </c>
      <c r="N177" s="8">
        <f t="shared" si="5"/>
        <v>85602.824999999997</v>
      </c>
    </row>
    <row r="178" spans="1:14" x14ac:dyDescent="0.3">
      <c r="A178" s="2" t="s">
        <v>232</v>
      </c>
      <c r="B178" s="3">
        <v>45996</v>
      </c>
      <c r="C178" s="2" t="s">
        <v>70</v>
      </c>
      <c r="D178" s="2" t="s">
        <v>46</v>
      </c>
      <c r="E178" s="2" t="s">
        <v>17</v>
      </c>
      <c r="F178" s="2">
        <v>3</v>
      </c>
      <c r="G178" s="2">
        <v>111</v>
      </c>
      <c r="H178" s="2">
        <v>29210</v>
      </c>
      <c r="I178" s="4">
        <f t="shared" si="4"/>
        <v>3242310</v>
      </c>
      <c r="J178" s="2" t="s">
        <v>32</v>
      </c>
      <c r="K178" s="2" t="s">
        <v>19</v>
      </c>
      <c r="L178" s="2" t="s">
        <v>20</v>
      </c>
      <c r="M178" s="5">
        <v>2.41E-2</v>
      </c>
      <c r="N178" s="4">
        <f t="shared" si="5"/>
        <v>78139.671000000002</v>
      </c>
    </row>
    <row r="179" spans="1:14" x14ac:dyDescent="0.3">
      <c r="A179" s="6" t="s">
        <v>233</v>
      </c>
      <c r="B179" s="7">
        <v>46000</v>
      </c>
      <c r="C179" s="6" t="s">
        <v>70</v>
      </c>
      <c r="D179" s="6" t="s">
        <v>52</v>
      </c>
      <c r="E179" s="6" t="s">
        <v>40</v>
      </c>
      <c r="F179" s="6" t="s">
        <v>41</v>
      </c>
      <c r="G179" s="6">
        <v>141</v>
      </c>
      <c r="H179" s="6">
        <v>43880</v>
      </c>
      <c r="I179" s="8">
        <f t="shared" si="4"/>
        <v>6187080</v>
      </c>
      <c r="J179" s="6" t="s">
        <v>42</v>
      </c>
      <c r="K179" s="6" t="s">
        <v>19</v>
      </c>
      <c r="L179" s="6" t="s">
        <v>43</v>
      </c>
      <c r="M179" s="9">
        <v>1.83E-2</v>
      </c>
      <c r="N179" s="8">
        <f t="shared" si="5"/>
        <v>113223.564</v>
      </c>
    </row>
    <row r="180" spans="1:14" x14ac:dyDescent="0.3">
      <c r="A180" s="2" t="s">
        <v>234</v>
      </c>
      <c r="B180" s="3">
        <v>46006</v>
      </c>
      <c r="C180" s="2" t="s">
        <v>70</v>
      </c>
      <c r="D180" s="2" t="s">
        <v>101</v>
      </c>
      <c r="E180" s="2" t="s">
        <v>50</v>
      </c>
      <c r="F180" s="2">
        <v>2</v>
      </c>
      <c r="G180" s="2">
        <v>96</v>
      </c>
      <c r="H180" s="2">
        <v>32010</v>
      </c>
      <c r="I180" s="4">
        <f t="shared" si="4"/>
        <v>3072960</v>
      </c>
      <c r="J180" s="2" t="s">
        <v>73</v>
      </c>
      <c r="K180" s="2" t="s">
        <v>25</v>
      </c>
      <c r="L180" s="2" t="s">
        <v>43</v>
      </c>
      <c r="M180" s="5">
        <v>2.2200000000000001E-2</v>
      </c>
      <c r="N180" s="4">
        <f t="shared" si="5"/>
        <v>68219.712</v>
      </c>
    </row>
    <row r="181" spans="1:14" x14ac:dyDescent="0.3">
      <c r="A181" s="6" t="s">
        <v>235</v>
      </c>
      <c r="B181" s="7">
        <v>46018</v>
      </c>
      <c r="C181" s="6" t="s">
        <v>70</v>
      </c>
      <c r="D181" s="6" t="s">
        <v>46</v>
      </c>
      <c r="E181" s="6" t="s">
        <v>47</v>
      </c>
      <c r="F181" s="6" t="s">
        <v>41</v>
      </c>
      <c r="G181" s="6">
        <v>138</v>
      </c>
      <c r="H181" s="6">
        <v>56210</v>
      </c>
      <c r="I181" s="8">
        <f t="shared" si="4"/>
        <v>7756980</v>
      </c>
      <c r="J181" s="6" t="s">
        <v>58</v>
      </c>
      <c r="K181" s="6" t="s">
        <v>19</v>
      </c>
      <c r="L181" s="6" t="s">
        <v>43</v>
      </c>
      <c r="M181" s="9">
        <v>1.41E-2</v>
      </c>
      <c r="N181" s="8">
        <f t="shared" si="5"/>
        <v>109373.41799999999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D4EBC0-9B2E-472E-AE3C-FECFA2D7C8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قاعدة 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</dc:creator>
  <cp:lastModifiedBy>mohamed reda Ibrahim</cp:lastModifiedBy>
  <dcterms:created xsi:type="dcterms:W3CDTF">2026-08-19T12:35:20Z</dcterms:created>
  <dcterms:modified xsi:type="dcterms:W3CDTF">2026-09-18T15:18:23Z</dcterms:modified>
</cp:coreProperties>
</file>